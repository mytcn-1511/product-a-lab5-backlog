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Hướng dẫn" sheetId="1" state="visible" r:id="rId3"/>
    <sheet name="Ước giờ" sheetId="2" state="visible" r:id="rId4"/>
  </sheets>
  <definedNames>
    <definedName function="false" hidden="true" localSheetId="1" name="_xlnm._FilterDatabase" vbProcedure="false">'Ước giờ'!$A$1:$P$16</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<sst xmlns="http://schemas.openxmlformats.org/spreadsheetml/2006/main" count="275" uniqueCount="229">
  <si>
    <t xml:space="preserve">Bộ ước giờ tay — LAB-5 Product A (15 issue mẫu)</t>
  </si>
  <si>
    <t xml:space="preserve">Mục đích</t>
  </si>
  <si>
    <t xml:space="preserve">Ước giờ 'mù' cho 15 issue TRƯỚC khi chạy skill chấm SWP. Số giờ này là gốc để quy điểm SWP ra giờ cho toàn backlog (Phase 05).</t>
  </si>
  <si>
    <t xml:space="preserve">Cách điền</t>
  </si>
  <si>
    <t xml:space="preserve">Mở sheet 'Ước giờ'. Đọc các cột Bối cảnh, Việc phải làm, Tiêu chí xong, File chạm. Ghi số giờ một người làm xong issue (code + tự kiểm theo tiêu chí xong) vào ô VÀNG cột 'Giờ ước (giờ)'.</t>
  </si>
  <si>
    <t xml:space="preserve">Định dạng ô giờ</t>
  </si>
  <si>
    <t xml:space="preserve">Chỉ ghi số, làm tròn 0,5 giờ (ví dụ định dạng: 3,5 hoặc 8). Ô chỉ nhận từ 0,5 đến 80. Ghi chú tuỳ chọn ở cột cuối (ví dụ: 'chưa rõ phần X nên cộng thêm').</t>
  </si>
  <si>
    <t xml:space="preserve">Cột 'Áp định nghĩa xong chung'</t>
  </si>
  <si>
    <t xml:space="preserve">Issue màn hình (Có) phải đạt thêm 7 điều kiện chung bên dưới, cần tính vào giờ.</t>
  </si>
  <si>
    <t xml:space="preserve">Không có số gợi ý</t>
  </si>
  <si>
    <t xml:space="preserve">File cố ý không ghi số giờ hay điểm nào để bộ ước giữ độc lập với skill chấm điểm.</t>
  </si>
  <si>
    <t xml:space="preserve">Nguồn</t>
  </si>
  <si>
    <t xml:space="preserve">skills/backlog.yaml trong repo mytcn-1511/product-a-lab5-backlog; xuất ngày 21/10/2026. Link ở cột Issue mở bản trên GitHub.</t>
  </si>
  <si>
    <t xml:space="preserve">Định nghĩa xong chung cho issue màn hình</t>
  </si>
  <si>
    <t xml:space="preserve">•</t>
  </si>
  <si>
    <t xml:space="preserve">Nhãn tiếng Nhật đúng thuật ngữ ở các màn khách sẽ tự thử (bảng nhãn chung ở docs/nhan-tieng-nhat.md trong repo này)</t>
  </si>
  <si>
    <t xml:space="preserve">Không lộ mã kỹ thuật (UUID, mã trạng thái thô, JSON thô) ra màn hình và nhật ký</t>
  </si>
  <si>
    <t xml:space="preserve">Ngày giờ một định dạng YYYY/MM/DD, theo giờ Nhật</t>
  </si>
  <si>
    <t xml:space="preserve">Lỗi hiện ngay tại ô nhập; nút đổi thành "Đang lưu" và khoá sau khi bấm; huỷ phải ghi lý do</t>
  </si>
  <si>
    <t xml:space="preserve">Thông báo chặn nói rõ hết hạn ngày nào và căn cứ gì</t>
  </si>
  <si>
    <t xml:space="preserve">Một luồng dùng được trên màn điện thoại 390 px, không cuộn ngang</t>
  </si>
  <si>
    <t xml:space="preserve">Issue chạm quy tắc nghiệp vụ phải có ca thử chứng minh chặn đúng</t>
  </si>
  <si>
    <t xml:space="preserve">Chú giải</t>
  </si>
  <si>
    <t xml:space="preserve">D-xx / B-xx / Q-x</t>
  </si>
  <si>
    <t xml:space="preserve">Dòng trong PREMISE.md (điểm khác biệt, quyết định nghiệp vụ, câu chưa có khách trả lời)</t>
  </si>
  <si>
    <t xml:space="preserve">SCR-xx</t>
  </si>
  <si>
    <t xml:space="preserve">Màn hình trong spec LAB-4</t>
  </si>
  <si>
    <r>
      <rPr>
        <b val="true"/>
        <sz val="10"/>
        <rFont val="Noto Sans CJK SC"/>
        <family val="2"/>
      </rPr>
      <t xml:space="preserve">相対取引 </t>
    </r>
    <r>
      <rPr>
        <b val="true"/>
        <sz val="10"/>
        <rFont val="Arial"/>
        <family val="0"/>
        <charset val="1"/>
      </rPr>
      <t xml:space="preserve">/ </t>
    </r>
    <r>
      <rPr>
        <b val="true"/>
        <sz val="10"/>
        <rFont val="Noto Sans CJK SC"/>
        <family val="2"/>
      </rPr>
      <t xml:space="preserve">せり</t>
    </r>
  </si>
  <si>
    <t xml:space="preserve">Bán thoả thuận / đấu giá</t>
  </si>
  <si>
    <t xml:space="preserve">業務日</t>
  </si>
  <si>
    <t xml:space="preserve">Ngày nghiệp vụ của chợ, theo giờ Nhật</t>
  </si>
  <si>
    <t xml:space="preserve">完納奨励金</t>
  </si>
  <si>
    <t xml:space="preserve">Tiền thưởng thanh toán đủ hạn</t>
  </si>
  <si>
    <r>
      <rPr>
        <b val="true"/>
        <sz val="10"/>
        <rFont val="Noto Sans CJK SC"/>
        <family val="2"/>
      </rPr>
      <t xml:space="preserve">許可 </t>
    </r>
    <r>
      <rPr>
        <b val="true"/>
        <sz val="10"/>
        <rFont val="Arial"/>
        <family val="0"/>
        <charset val="1"/>
      </rPr>
      <t xml:space="preserve">/ </t>
    </r>
    <r>
      <rPr>
        <b val="true"/>
        <sz val="10"/>
        <rFont val="Noto Sans CJK SC"/>
        <family val="2"/>
      </rPr>
      <t xml:space="preserve">承認</t>
    </r>
  </si>
  <si>
    <t xml:space="preserve">Giấy phép / giấy chấp thuận (hai cấp tư cách mua)</t>
  </si>
  <si>
    <t xml:space="preserve">公開</t>
  </si>
  <si>
    <t xml:space="preserve">Công khai lô hàng</t>
  </si>
  <si>
    <t xml:space="preserve">migration</t>
  </si>
  <si>
    <t xml:space="preserve">Bước đổi cấu trúc database, có bước quay lại</t>
  </si>
  <si>
    <t xml:space="preserve">trigger</t>
  </si>
  <si>
    <t xml:space="preserve">Bộ chặn tự động chạy trong database</t>
  </si>
  <si>
    <t xml:space="preserve">STT</t>
  </si>
  <si>
    <t xml:space="preserve">Issue</t>
  </si>
  <si>
    <t xml:space="preserve">Mã</t>
  </si>
  <si>
    <t xml:space="preserve">Tiêu đề</t>
  </si>
  <si>
    <t xml:space="preserve">Epic</t>
  </si>
  <si>
    <t xml:space="preserve">Đội</t>
  </si>
  <si>
    <t xml:space="preserve">Nguồn gốc</t>
  </si>
  <si>
    <t xml:space="preserve">Bối cảnh</t>
  </si>
  <si>
    <t xml:space="preserve">Việc phải làm</t>
  </si>
  <si>
    <t xml:space="preserve">Tiêu chí xong</t>
  </si>
  <si>
    <t xml:space="preserve">File chạm (trong prototype)</t>
  </si>
  <si>
    <t xml:space="preserve">Phải xong trước (Làm sau)</t>
  </si>
  <si>
    <t xml:space="preserve">Áp định nghĩa xong chung màn hình?</t>
  </si>
  <si>
    <t xml:space="preserve">Vì sao chọn vào bộ mẫu</t>
  </si>
  <si>
    <t xml:space="preserve">Giờ ước (giờ)</t>
  </si>
  <si>
    <t xml:space="preserve">Ghi chú của người ước</t>
  </si>
  <si>
    <t xml:space="preserve">#32</t>
  </si>
  <si>
    <t xml:space="preserve">T06-01</t>
  </si>
  <si>
    <t xml:space="preserve">Cấp mã giao dịch và mã lô bằng bộ đếm của database</t>
  </si>
  <si>
    <r>
      <rPr>
        <sz val="10"/>
        <rFont val="Arial"/>
        <family val="0"/>
        <charset val="1"/>
      </rPr>
      <t xml:space="preserve">E-T06 · Giao dịch: bán thoả thuận (</t>
    </r>
    <r>
      <rPr>
        <sz val="10"/>
        <rFont val="Noto Sans CJK SC"/>
        <family val="2"/>
      </rPr>
      <t xml:space="preserve">相対取引</t>
    </r>
    <r>
      <rPr>
        <sz val="10"/>
        <rFont val="Arial"/>
        <family val="0"/>
        <charset val="1"/>
      </rPr>
      <t xml:space="preserve">) và đấu giá (</t>
    </r>
    <r>
      <rPr>
        <sz val="10"/>
        <rFont val="Noto Sans CJK SC"/>
        <family val="2"/>
      </rPr>
      <t xml:space="preserve">せり</t>
    </r>
    <r>
      <rPr>
        <sz val="10"/>
        <rFont val="Arial"/>
        <family val="0"/>
        <charset val="1"/>
      </rPr>
      <t xml:space="preserve">) chạy ổn, có bước xác nhận kết quả đấu giá</t>
    </r>
  </si>
  <si>
    <t xml:space="preserve">Máy chủ (BE)</t>
  </si>
  <si>
    <t xml:space="preserve">Gia cố lỗi đã thấy</t>
  </si>
  <si>
    <t xml:space="preserve">Nhận xét LAB-3 của giảng viên: tạo giao dịch báo lỗi 409 trùng mã sau khi đặt lại dữ liệu, làm luồng bán, đấu giá và giao hàng không chạy được. Đã xác minh trong hàm tạo giao dịch của database: mã sinh bằng đếm số bản ghi trong ngày cộng một, nên hai giao dịch cùng ngày tạo cùng lúc, hoặc có bản ghi mẫu chen số, là trùng mã. PREMISE D-41 chốt: cấp bằng bộ đếm (sequence) của database, không đếm, không lấy số lớn nhất cộng một. Mã lô cũng sinh kiểu lấy số lớn nhất cộng một; bộ đếm làm chung ở đây, phần đổi API tạo lô ở T05-05. Ca thử sau đặt lại dữ liệu là một phần của smoke test X03-01; issue này chạy tay và ghi kết quả.</t>
  </si>
  <si>
    <t xml:space="preserve">Tạo bảng bộ đếm theo ngày (ngày nghiệp vụ, loại thực thể, số kế tiếp) và hàm next_code: tạo dòng đầu ngày bằng INSERT ... ON CONFLICT rồi lấy số bằng một lệnh UPDATE ... RETURNING có khoá hàng, không phụ thuộc số bản ghi hiện có. Hàm tạo giao dịch gọi hàm này. Dữ liệu mẫu nạp xong thì đặt bộ đếm bằng số lớn nhất đã dùng của từng ngày và loại.</t>
  </si>
  <si>
    <t xml:space="preserve">1. Đặt lại dữ liệu rồi tạo liền 3 giao dịch bán thoả thuận và 1 đấu giá trên bản deploy, không lỗi 409, mã nối tiếp đúng thứ tự
2. Hai yêu cầu tạo giao dịch trên hai lô khác nhau cùng ngày gửi đồng thời (script chạy song song) đều thành công, mã khác nhau
3. Ngày chưa có dòng bộ đếm thì giao dịch đầu tiên nhận số 0001, không lỗi
4. Giao dịch bị huỷ không làm mã bị dùng lại; tạo tiếp vẫn tăng
5. Hàm tạo giao dịch không còn phép đếm trên bảng giao dịch để sinh mã (kiểm bằng grep)</t>
  </si>
  <si>
    <t xml:space="preserve">- supabase/schema.sql (bảng code_counters mới, hàm next_code mới, hàm tạo giao dịch phần sinh mã)
- supabase/seed.sql (đặt bộ đếm sau khi nạp mẫu)</t>
  </si>
  <si>
    <t xml:space="preserve">—</t>
  </si>
  <si>
    <t xml:space="preserve">Không</t>
  </si>
  <si>
    <t xml:space="preserve">Sửa lỗi gốc 409 của LAB-3; việc gia cố, phạm vi hẹp</t>
  </si>
  <si>
    <t xml:space="preserve">Bảng + hàm next_code (ON CONFLICT, UPDATE…RETURNING) 3h; sửa hàm tạo giao dịch + reset bộ đếm trong seed 2h; script gửi song song + chạy tay 5 tiêu chí 3h.</t>
  </si>
  <si>
    <t xml:space="preserve">#27</t>
  </si>
  <si>
    <t xml:space="preserve">T05-02</t>
  </si>
  <si>
    <t xml:space="preserve">Nút công khai lô trên màn danh sách lô</t>
  </si>
  <si>
    <r>
      <rPr>
        <sz val="10"/>
        <rFont val="Arial"/>
        <family val="0"/>
        <charset val="1"/>
      </rPr>
      <t xml:space="preserve">E-T05 · Lô hàng: nhận lô, thẩm định (</t>
    </r>
    <r>
      <rPr>
        <sz val="10"/>
        <rFont val="Noto Sans CJK SC"/>
        <family val="2"/>
      </rPr>
      <t xml:space="preserve">目利き</t>
    </r>
    <r>
      <rPr>
        <sz val="10"/>
        <rFont val="Arial"/>
        <family val="0"/>
        <charset val="1"/>
      </rPr>
      <t xml:space="preserve">) và công khai (</t>
    </r>
    <r>
      <rPr>
        <sz val="10"/>
        <rFont val="Noto Sans CJK SC"/>
        <family val="2"/>
      </rPr>
      <t xml:space="preserve">公開</t>
    </r>
    <r>
      <rPr>
        <sz val="10"/>
        <rFont val="Arial"/>
        <family val="0"/>
        <charset val="1"/>
      </rPr>
      <t xml:space="preserve">) có chốt chặn thật</t>
    </r>
  </si>
  <si>
    <t xml:space="preserve">Màn hình (FE)</t>
  </si>
  <si>
    <t xml:space="preserve">Sửa chỗ lệch thiết kế</t>
  </si>
  <si>
    <r>
      <rPr>
        <sz val="10"/>
        <rFont val="Arial"/>
        <family val="0"/>
        <charset val="1"/>
      </rPr>
      <t xml:space="preserve">Theo T05-01, công khai (</t>
    </r>
    <r>
      <rPr>
        <sz val="10"/>
        <rFont val="Noto Sans CJK SC"/>
        <family val="2"/>
      </rPr>
      <t xml:space="preserve">公開</t>
    </r>
    <r>
      <rPr>
        <sz val="10"/>
        <rFont val="Arial"/>
        <family val="0"/>
        <charset val="1"/>
      </rPr>
      <t xml:space="preserve">, bên mua nhìn thấy lô) là bước riêng bấm sau thẩm định (D-29). Màn danh sách lô (SCR-06/07, đường dẫn /lots) hiện chỉ có nút nhận lô và nút ghi thẩm định. Người bấm là vai giao dịch (giả định ghi ở thân epic). Màn này là màn hiện trường (tay ướt, ngoài trời), thao tác phải ít bước.</t>
    </r>
  </si>
  <si>
    <t xml:space="preserve">Trên dòng lô ở trạng thái judged (đã thẩm định), thêm nút "Công khai" chỉ hiện với vai giao dịch; bấm mở hộp xác nhận của ứng dụng hiện mã lô, loài, hạng thẩm định mới nhất và số lượng còn lại; xác nhận thì gọi API T05-01. Huy hiệu trạng thái lô hiện bằng chữ cho bốn trạng thái received, judged, published, sold_out. Thêm bộ lọc "Chờ công khai". Dòng thuộc ngày đã khoá không hiện nút. Sau khi công khai, dòng đổi huy hiệu ngay, không cần tải lại trang.</t>
  </si>
  <si>
    <t xml:space="preserve">1. Vai giao dịch thấy nút trên lô judged; không thấy trên lô received hoặc sold_out; vai thẩm định không thấy nút
2. Lọc "Chờ công khai" chỉ ra lô có hạng thẩm định mà chưa công khai; đếm tay trên dữ liệu mẫu khớp số dòng
3. Lô thuộc ngày đã khoá không có nút công khai
4. Bấm xác nhận hai lần liên tiếp chỉ gọi API một lần; nút đổi thành "Đang công khai" và khoá
5. Huy hiệu hiện chữ theo bảng nhãn chung, không hiện mã thô như published hay sold_out
6. Trên màn rộng 390 px nút công khai bấm được, không cuộn ngang</t>
  </si>
  <si>
    <t xml:space="preserve">- src/app/(app)/lots/page.tsx
- src/app/(app)/lots/lot-types.ts
- src/lib/client-api.ts</t>
  </si>
  <si>
    <t xml:space="preserve">#26 Lô hàng có trạng thái đã công khai và chỉ lô đã công khai mới bán được</t>
  </si>
  <si>
    <t xml:space="preserve">Có</t>
  </si>
  <si>
    <t xml:space="preserve">Màn nhỏ gắn quyết định PREMISE D-29</t>
  </si>
  <si>
    <t xml:space="preserve">Nút theo vai + hộp xác nhận 3h; huy hiệu chữ 4 trạng thái + bộ lọc 'Chờ công khai' 2h; khoá nút khi gửi, cập nhật dòng không tải lại 2h; DoD chung (nhãn JP, 390 px) + tự kiểm 3h. Giả định API T05-01 đã chạy.</t>
  </si>
  <si>
    <t xml:space="preserve">#7</t>
  </si>
  <si>
    <t xml:space="preserve">T10-04.2</t>
  </si>
  <si>
    <t xml:space="preserve">Form yêu cầu điều chỉnh ba bước (lưu nháp, tải tệp, gửi duyệt) và mở tệp từ bảng duyệt</t>
  </si>
  <si>
    <t xml:space="preserve">E-T10 · Yêu cầu điều chỉnh sau khoá sổ chỉ nhận sau khi khoá ngày và duyệt trong một giao dịch database</t>
  </si>
  <si>
    <t xml:space="preserve">(Issue con của #5 Chứng cứ đính kèm thật cho yêu cầu điều chỉnh theo luồng nháp rồi gửi)
D-07: prototype chỉ lưu tên tệp gõ tay, người duyệt không mở được; một chứng cứ không mở được thì không phải chứng cứ. Thiết kế LAB-4: bắt buộc tệp khi sửa số lượng (sự kiện vật lý đã đo), tuỳ chọn khi sửa đơn giá. Vì tệp cần gắn vào một mã yêu cầu, luồng đổi thành ba bước: tạo yêu cầu ở trạng thái draft (nháp), tải tệp theo mã yêu cầu, rồi bấm gửi duyệt mới chuyển sang pending (đang chờ) và mới đòi tệp. Nháp không tính là yêu cầu mở trong kiểm trùng của T10-01.</t>
  </si>
  <si>
    <t xml:space="preserve">Form ba bước trên một màn: lưu nháp, tải tệp, gửi duyệt, gọi các API của T10-04.1. Bảng duyệt hiện đường dẫn mở tệp. Bỏ ô gõ tên tệp cũ.</t>
  </si>
  <si>
    <t xml:space="preserve">1. Người duyệt bấm đường dẫn trong bảng duyệt thì mở được tệp
2. Trên form làm đủ ba bước lưu nháp, tải tệp, gửi duyệt trên một màn; ô gõ tên tệp cũ không còn
3. Tệp bị từ chối (quá 10 MB, sai loại, quá 5 tệp) hiện lỗi bằng chữ ngay tại ô tải, không lộ mã thô</t>
  </si>
  <si>
    <t xml:space="preserve">- src/app/(app)/corrections/correction-form.tsx
- src/app/(app)/corrections/page.tsx</t>
  </si>
  <si>
    <t xml:space="preserve">#6 Máy chủ: yêu cầu điều chỉnh dạng nháp, tải tệp chứng cứ vào kho riêng, gửi duyệt và dọn nháp quá hạn</t>
  </si>
  <si>
    <t xml:space="preserve">Đại diện issue con</t>
  </si>
  <si>
    <t xml:space="preserve">Form 3 bước + trạng thái nháp/pending 5h; ô tải tệp kiểm 10 MB/loại/5 tệp, lỗi tại ô 3h; link mở tệp ở bảng duyệt (signed URL) 2h; DoD chung + tự kiểm 4h. Giả định API #6 đủ, nếu chưa có signed URL thì cộng 2–3h.</t>
  </si>
  <si>
    <t xml:space="preserve">#9</t>
  </si>
  <si>
    <t xml:space="preserve">T02-01</t>
  </si>
  <si>
    <t xml:space="preserve">Bảng cấu hình ngưỡng cảnh báo sắp hết hạn và một hàm đọc dùng chung</t>
  </si>
  <si>
    <t xml:space="preserve">E-T02 · Bảng điều khiển đầu ca: chỉ số theo vai trò, bấm là tới đúng màn, tự làm mới</t>
  </si>
  <si>
    <r>
      <rPr>
        <sz val="10"/>
        <rFont val="Arial"/>
        <family val="0"/>
        <charset val="1"/>
      </rPr>
      <t xml:space="preserve">D-18: hằng số 30 ngày nằm ở hai chỗ (API bảng điều khiển và API danh sách người tham gia; API là đường gọi máy chủ), không đặt tên ở một chỗ. Hôm nay hai chỗ tình cờ khớp; đổi một bên mà quên bên kia thì bảng điều khiển nói "3 hồ sơ sắp hết hạn" còn bấm sang danh sách lại ra 4 dòng. Thiết kế LAB-4 chốt: ngưỡng đọc từ database, một giá trị cho toàn hệ thống, không theo loại người tham gia. </t>
    </r>
    <r>
      <rPr>
        <sz val="10"/>
        <rFont val="Noto Sans CJK SC"/>
        <family val="2"/>
      </rPr>
      <t xml:space="preserve">許可 </t>
    </r>
    <r>
      <rPr>
        <sz val="10"/>
        <rFont val="Arial"/>
        <family val="0"/>
        <charset val="1"/>
      </rPr>
      <t xml:space="preserve">(giấy phép) và </t>
    </r>
    <r>
      <rPr>
        <sz val="10"/>
        <rFont val="Noto Sans CJK SC"/>
        <family val="2"/>
      </rPr>
      <t xml:space="preserve">承認 </t>
    </r>
    <r>
      <rPr>
        <sz val="10"/>
        <rFont val="Arial"/>
        <family val="0"/>
        <charset val="1"/>
      </rPr>
      <t xml:space="preserve">(giấy chấp thuận) là hai loại giấy tờ có ngày hết hạn mà ngưỡng này áp dụng. Việc đổi API danh sách người tham gia sang hàm này làm ở T04-05 (cùng file), issue này không chạm file đó.</t>
    </r>
  </si>
  <si>
    <t xml:space="preserve">Tạo bảng cấu hình chung (khoá, giá trị, người sửa, thời điểm sửa) với khoá "participant.expiring_days", giá trị mặc định 30. Viết một hàm database expiring_until() tính "ngày cuối cửa sổ cảnh báo" = ngày hiện tại theo giờ Nhật cộng số ngày trong cấu hình. API bảng điều khiển gọi hàm này thay cho hằng số. Màn sửa giá trị thuộc gói cài đặt thông báo (T-15), không làm ở đây. Migration có bước quay lại.</t>
  </si>
  <si>
    <t xml:space="preserve">1. Sau migration, giá trị cấu hình là 30 và số hồ sơ sắp hết hạn trên bảng điều khiển bằng số dòng danh sách lọc "sắp hết hạn" trên cùng dữ liệu mẫu
2. Đổi giá trị cấu hình thành 45 bằng lệnh database rồi gọi lại API bảng điều khiển thì số đổi theo, không cần triển khai lại mã
3. Hồ sơ hết hạn đúng ngày "hôm nay cộng 30" được đếm là sắp hết hạn; hồ sơ hết hạn ngày "hôm nay cộng 31" thì không
4. Máy chủ đặt múi giờ UTC, gọi lúc 02:31 giờ Nhật thì ngày hiện tại dùng để tính vẫn là ngày theo giờ Nhật
5. Không còn hằng số 30 trong file API bảng điều khiển (kiểm bằng lệnh grep)
6. Chạy bước quay lại migration thì bảng cấu hình và hàm biến mất, API bảng điều khiển vẫn chạy với mặc định 30</t>
  </si>
  <si>
    <t xml:space="preserve">- supabase/schema.sql (bảng app_settings mới, hàm expiring_until mới)
- src/app/api/dashboard/route.ts</t>
  </si>
  <si>
    <t xml:space="preserve">Migration nhỏ cộng một hàm dùng chung</t>
  </si>
  <si>
    <t xml:space="preserve">Migration app_settings + expiring_until() có rollback 2h; đổi API dashboard 1h; kiểm biên +30/+31, ca 02:31 JST trên máy UTC, rollback 3h.</t>
  </si>
  <si>
    <t xml:space="preserve">#45</t>
  </si>
  <si>
    <t xml:space="preserve">T08-03</t>
  </si>
  <si>
    <t xml:space="preserve">Chỉ cho hoàn tất giao nhận khi số đã giao khớp số lượng</t>
  </si>
  <si>
    <t xml:space="preserve">E-T08 · Giao nhận hàng nhiều đợt: ghi đợt, hoàn tất đúng số lượng, trần số đợt, mở lại sau hoàn tất</t>
  </si>
  <si>
    <t xml:space="preserve">PREMISE D-40: hoàn tất chỉ khi tổng thực giao bằng số lượng giao dịch (sau điều chỉnh đã duyệt); giao thiếu thì chưa hoàn tất; giao vượt dừng ở trạng thái ngoại lệ dù có lý do; trả lại và huỷ một phần đều trừ. Nhận xét LAB-3 cho cả lớp: nhiều bài cho hoàn tất dù số chưa khớp. Prototype xác nhận hoàn tất bằng hai lệnh rời, không khoá dòng, cập nhật không điều kiện, lỗi nhật ký bị nuốt, và luôn báo "đã giao thừa" kể cả khi còn thiếu. Hệ thống không được tự kết luận đã giao xong; người bấm mới chuyển trạng thái.</t>
  </si>
  <si>
    <t xml:space="preserve">Tạo hàm database complete_delivery chạy trong một giao dịch: khoá dòng giao dịch, đọc phần còn giao từ bảng tính số dư (T08-01), chỉ cho hoàn tất khi phần còn giao bằng 0 và trạng thái đang là "đang giao" hoặc "ngoại lệ"; từ chối với thông điệp riêng cho ca còn thiếu (nêu còn thiếu bao nhiêu) và ca giao vượt (nêu vượt bao nhiêu, phải ghi đợt trả lại hoặc mở yêu cầu điều chỉnh SCR-12); bắt ghi chú khi giao dịch đang ở trạng thái ngoại lệ; ghi nhật ký cùng giao dịch; giờ hoàn tất lấy từ database. API hoàn tất chỉ gọi hàm này; mã giao dịch sai dạng trả 404 thay vì lỗi 500.</t>
  </si>
  <si>
    <t xml:space="preserve">1. Ca giao thiếu, đơn 100 kg đã giao 90, bấm hoàn tất bị từ chối, thông báo nêu còn thiếu 10 kg
2. Ca giao vượt, đơn 100 kg đã giao 110 (đợt thừa có lý do), bấm hoàn tất bị từ chối, giao dịch vẫn ở trạng thái ngoại lệ, thông báo nêu vượt 10 kg
3. Ca trả lại, đơn 100 kg giao 100 rồi trả lại 30, bấm hoàn tất bị từ chối vì còn giao 30; giao bù 30 rồi bấm lại thì hoàn tất
4. Ca huỷ một phần, đơn 100 kg huỷ 20 giao 80, bấm hoàn tất thành công, số đã giao ghi 80
5. Giao dịch đang ở trạng thái ngoại lệ mà bỏ trống ghi chú thì hàm database từ chối
6. Hai yêu cầu hoàn tất cùng lúc chỉ ghi một dòng nhật ký, lần sau báo đã hoàn tất
7. Mã giao dịch không đúng dạng trả 404, không trả lỗi 500</t>
  </si>
  <si>
    <t xml:space="preserve">- supabase/schema.sql (hàm complete_delivery mới)
- src/app/api/deliveries/[tradeId]/complete/route.ts</t>
  </si>
  <si>
    <t xml:space="preserve">#43 Sửa cách tính số còn phải giao khi có huỷ một phần và trả lại</t>
  </si>
  <si>
    <t xml:space="preserve">Quy tắc nghiệp vụ có 3 ca thử bắt buộc (D-40)</t>
  </si>
  <si>
    <t xml:space="preserve">Hàm complete_delivery (khoá dòng, 2 thông điệp thiếu/vượt, bắt ghi chú, nhật ký) 5h; route gọi hàm + 404 1h; dựng dữ liệu và kiểm 7 ca, có ca đồng thời 6h. Phụ thuộc bảng số dư #43 đúng.</t>
  </si>
  <si>
    <t xml:space="preserve">#78</t>
  </si>
  <si>
    <t xml:space="preserve">T12-02</t>
  </si>
  <si>
    <t xml:space="preserve">Duyệt, từ chối, thu hồi phiên bản tỷ lệ an toàn khi hai người cùng bấm</t>
  </si>
  <si>
    <t xml:space="preserve">E-T12 · Quản trị phiên bản tỷ lệ thưởng: tạo, duyệt, thu hồi, trần 4 lần một năm</t>
  </si>
  <si>
    <r>
      <rPr>
        <sz val="10"/>
        <rFont val="Arial"/>
        <family val="0"/>
        <charset val="1"/>
      </rPr>
      <t xml:space="preserve">Prototype duyệt và thu hồi bằng bốn lệnh rời, không khoá, cập nhật chỉ theo mã nên bản đã thu hồi vẫn duyệt lại được; ghi chú của người duyệt ghi đè ghi chú của người khởi tạo; giờ duyệt lấy từ máy ứng dụng; danh sách kỳ đã dùng cắt còn 5 dòng và không kèm trạng thái kỳ nên màn không cảnh báo được kỳ đang mở sẽ đổi số; người thu hồi không có email để hiện. Người khởi tạo (</t>
    </r>
    <r>
      <rPr>
        <sz val="10"/>
        <rFont val="Noto Sans CJK SC"/>
        <family val="2"/>
      </rPr>
      <t xml:space="preserve">起票</t>
    </r>
    <r>
      <rPr>
        <sz val="10"/>
        <rFont val="Arial"/>
        <family val="0"/>
        <charset val="1"/>
      </rPr>
      <t xml:space="preserve">) và người duyệt (</t>
    </r>
    <r>
      <rPr>
        <sz val="10"/>
        <rFont val="Noto Sans CJK SC"/>
        <family val="2"/>
      </rPr>
      <t xml:space="preserve">承認</t>
    </r>
    <r>
      <rPr>
        <sz val="10"/>
        <rFont val="Arial"/>
        <family val="0"/>
        <charset val="1"/>
      </rPr>
      <t xml:space="preserve">) phải khác nhau, giữ như prototype.</t>
    </r>
  </si>
  <si>
    <t xml:space="preserve">Thêm cột decision_note cho bảng phiên bản, giữ note là ghi chú khởi tạo. Tạo hai hàm database decide_rule_version và rollback_rule_version chạy trong một giao dịch: khoá dòng với điều kiện trạng thái đúng (nháp để duyệt hoặc từ chối; đã duyệt để thu hồi), kiểm người duyệt khác người khởi tạo, từ chối và thu hồi bắt lý do, giờ lấy now() của database, ghi nhật ký cùng giao dịch. Thu hồi trả đủ mọi kỳ đã dùng kèm trạng thái kỳ (mở hoặc đã chốt). API đọc danh sách trả email người thu hồi và người duyệt. Hai API duyệt và thu hồi chỉ gọi hàm; mã sai dạng trả 404. Bổ sung kiểm thử tự động vào bộ của T12-01.</t>
  </si>
  <si>
    <t xml:space="preserve">1. Người khởi tạo tự duyệt bản của mình bị hàm database từ chối; người khác duyệt thì thành công
2. Hai yêu cầu duyệt cùng lúc, một thành công, một báo bản không còn ở trạng thái nháp; chỉ một dòng nhật ký
3. Duyệt kèm ghi chú thì note của người khởi tạo giữ nguyên và decision_note có ghi chú mới
4. Thu hồi bản đã dùng cho 7 kỳ (2 mở, 5 đã chốt) trả đủ 7 kỳ kèm trạng thái, không cắt còn 5; duyệt lại bản đã thu hồi bị từ chối
5. Từ chối hoặc thu hồi không có lý do bị từ chối ở hàm database; thu hồi bản đang nháp bị từ chối
6. API danh sách có email người thu hồi; giờ duyệt bằng giờ database; bộ kiểm thử một lệnh có ca tự duyệt và ca duyệt lại bản thu hồi</t>
  </si>
  <si>
    <t xml:space="preserve">- supabase/schema.sql (cột rule_versions.decision_note, hai hàm mới)
- src/app/api/rules/[id]/decide/route.ts
- src/app/api/rules/[id]/rollback/route.ts
- tests/rule-versions.test.ts</t>
  </si>
  <si>
    <t xml:space="preserve">#77 Tạo bản nháp tỷ lệ không vượt trần 4 lần một năm</t>
  </si>
  <si>
    <t xml:space="preserve">Xử lý hai người cùng bấm, thuộc chuỗi thưởng</t>
  </si>
  <si>
    <t xml:space="preserve">Cột decision_note + 2 hàm decide/rollback (điều kiện trạng thái, khác người khởi tạo, lý do) 6h; sửa 2 API + API danh sách thêm email 3h; kiểm thử tự động bổ sung vào bộ T12-01 + ca đồng thời 7h.</t>
  </si>
  <si>
    <t xml:space="preserve">#83</t>
  </si>
  <si>
    <t xml:space="preserve">T13-03</t>
  </si>
  <si>
    <t xml:space="preserve">Màn nhật ký hiện mã nghiệp vụ đủ và thao tác bằng chữ, cảnh báo khi chạm trần, bộ lọc lên URL</t>
  </si>
  <si>
    <t xml:space="preserve">E-T13 · Nhật ký thao tác: tra được lịch sử sửa một giao dịch, mã nghiệp vụ hiện đủ, tìm kiếm an toàn</t>
  </si>
  <si>
    <r>
      <rPr>
        <sz val="10"/>
        <rFont val="Arial"/>
        <family val="0"/>
        <charset val="1"/>
      </rPr>
      <t xml:space="preserve">B-21: màn cắt entity_id còn 8 ký tự nên ngày khoá hiện "2026-08-". Nhận xét LAB-3: không lộ mã thô, một kiểu ngày, bộ lọc lên URL để bấm Back còn giữ.
Chốt LAB-4: chạm trần dòng phải là cảnh báo vàng kèm nút nâng lên 500, không tự nâng; ô lý do trống ở nhóm 9 thao tác bắt buộc lý do phải tô vàng vì là tín hiệu kiểm soát; khối JSON trước/sau quá dài đẩy trang; tải lỗi vẫn hiện bộ lọc; cặp thực thể và thao tác không bao giờ giao nhau phải có cảnh báo. Huy hiệu mili giây là điểm mạnh, giữ và cộng thêm p95. Bộ lọc thao tác thanh toán do INC-04 làm trên cùng file, không lặp. Nút "Lịch sử sửa </t>
    </r>
    <r>
      <rPr>
        <sz val="10"/>
        <rFont val="Noto Sans CJK SC"/>
        <family val="2"/>
      </rPr>
      <t xml:space="preserve">せり</t>
    </r>
    <r>
      <rPr>
        <sz val="10"/>
        <rFont val="Arial"/>
        <family val="0"/>
        <charset val="1"/>
      </rPr>
      <t xml:space="preserve">" (</t>
    </r>
    <r>
      <rPr>
        <sz val="10"/>
        <rFont val="Noto Sans CJK SC"/>
        <family val="2"/>
      </rPr>
      <t xml:space="preserve">せり </t>
    </r>
    <r>
      <rPr>
        <sz val="10"/>
        <rFont val="Arial"/>
        <family val="0"/>
        <charset val="1"/>
      </rPr>
      <t xml:space="preserve">là phiên đấu giá) chuyển thành ô nhập mã giao dịch gọi API (đường gọi máy chủ) T13-02.</t>
    </r>
  </si>
  <si>
    <r>
      <rPr>
        <sz val="10"/>
        <rFont val="Arial"/>
        <family val="0"/>
        <charset val="1"/>
      </rPr>
      <t xml:space="preserve">Cột thực thể hiện entity_code khi có, chỉ rút gọn khi là UUID (chú thích đầy đủ khi rê chuột). Cột thao tác hiện chữ theo bảng docs/ma-thao-tac-nhat-ky.md. Bộ lọc và ô tìm lên URL; ô tìm trễ 300 mili giây, huỷ yêu cầu cũ, và chỉ gọi ghi vết sau khi ngừng gõ 500 mili giây. Nút "Lịch sử sửa </t>
    </r>
    <r>
      <rPr>
        <sz val="10"/>
        <rFont val="Noto Sans CJK SC"/>
        <family val="2"/>
      </rPr>
      <t xml:space="preserve">せり</t>
    </r>
    <r>
      <rPr>
        <sz val="10"/>
        <rFont val="Arial"/>
        <family val="0"/>
        <charset val="1"/>
      </rPr>
      <t xml:space="preserve">" mở ô mã giao dịch.
Chạm trần: cảnh báo vàng "Đang hiện N bản ghi đầu, có thể còn nữa" kèm "Nâng lên 500" và "Trang sau" dùng next_cursor. Ô lý do trống ở thao tác có cờ bắt buộc tô vàng. Khối trước/sau giới hạn chiều cao, cuộn trong khối, có "Sao chép", không cắt. Tải lỗi vẫn hiện bộ lọc kèm "Thử lại". Bảng rỗng ghi "Chưa có dòng nhật ký nào". Cạnh huy hiệu mili giây hiện p95 của 50 lần gần nhất từ X-Query-Ms.</t>
    </r>
  </si>
  <si>
    <t xml:space="preserve">1. Dòng khoá ngày hiện "2026/08/24" đầy đủ; dòng giao dịch hiện mã T-... thay vì 8 ký tự UUID
2. Không còn chuỗi mã thao tác dạng "profile.role_change" trên màn; mọi ngày giờ cùng định dạng YYYY/MM/DD HH:mm giờ Nhật
3. Chọn thực thể "tài khoản", gõ "admin", bấm một dòng rồi bấm Back: bộ lọc và ô tìm còn nguyên, URL có tham số
4. Gõ nhanh 5 ký tự: nhiều nhất 2 yêu cầu còn sống trong tab Network và chỉ một dòng audit.search được ghi sau khi ngừng gõ
5. Dữ liệu thử có 120 dòng, limit 100: cảnh báo vàng hiện, bấm "Trang sau" ra 20 dòng còn lại không trùng dòng nào
6. Dòng "khoá ngày" có lý do trống được tô vàng; dòng "tạo giao dịch" lý do trống không tô
7. Khối trước/sau dài 300 dòng JSON không làm trang cao thêm quá 400 px; "Sao chép" đưa đủ nội dung vào clipboard
8. Tắt API rồi tải màn: cụm bộ lọc vẫn hiện, có "Thử lại"; bật lại và bấm thì có dữ liệu mà không tải lại trang</t>
  </si>
  <si>
    <t xml:space="preserve">- src/app/(app)/audit/page.tsx</t>
  </si>
  <si>
    <t xml:space="preserve">#82 API nhật ký tra được theo mã giao dịch, tìm kiếm không bẻ được bộ lọc, phân trang con trỏ, mỗi lần tra có vết
#63 Hiển thị nguồn ngày thanh toán trên danh sách và lọc nhật ký theo thao tác thanh toán</t>
  </si>
  <si>
    <t xml:space="preserve">Nhiều tiêu chí nhưng chỉ sửa một file</t>
  </si>
  <si>
    <t xml:space="preserve">Issue nặng nhất về FE dù 1 file: mã nghiệp vụ + nhãn thao tác 3h; bộ lọc lên URL, debounce 300ms/abort/ghi vết 500ms 5h; cảnh báo trần + nâng 500 + trang sau cursor 4h; tô vàng lý do, khối JSON cuộn + sao chép 3h; trạng thái lỗi/rỗng, p95 X-Query-Ms 3h; DoD chung + kiểm 8 tiêu chí 6h.</t>
  </si>
  <si>
    <t xml:space="preserve">#114</t>
  </si>
  <si>
    <t xml:space="preserve">X01-01</t>
  </si>
  <si>
    <t xml:space="preserve">Bảng mã lỗi chung trong repo này, một nơi khai báo trong mã nguồn, và không trả nguyên văn lỗi database ra trình duyệt</t>
  </si>
  <si>
    <t xml:space="preserve">E-X01 · X-01 Nền tảng vận hành: bảng mã lỗi, thiết kế dữ liệu đích, biến môi trường, đăng nhập, hàng đợi mất mạng, sao lưu</t>
  </si>
  <si>
    <t xml:space="preserve">Thiết kế LAB-4 có một danh mục thông điệp lỗi, mỗi dòng ghi mã, mã HTTP, câu hiện cho người dùng, ô neo lỗi và hành động gợi ý; tài liệu đó không công khai nên issue này chép phần cần dùng vào đây. Prototype đang có 13 mã nghiệp vụ do hàm database ném ra (ngày đã khoá, kỳ đã chốt, giao dịch đã huỷ, đã có giao hàng, giấy phép không hiệu lực, giấy phép tạm dừng, loại bên mua sai, vượt tồn, thiếu lý do, chưa có phiên bản quy tắc, không thấy lô, không thấy bên mua, không thấy giao dịch), 3 mã lỗi Postgres được dịch (23505 trùng khoá, 23514 vi phạm ràng buộc, còn lại), 6 tình huống xác thực và phân quyền, và khoảng 20 lỗi kiểm ở ô nhập theo màn.
Mã mới của LAB-4 chưa có trong prototype: yêu cầu mã xác thực hai lớp (401), quá nhiều lần đăng nhập (429), vi phạm khoá ngoại 23503 đổi từ 500 sang 422, lỗi database khác trả câu cố định (500) thay vì nguyên văn, ngày nghỉ chợ (409), kỳ đã chốt khi tạo phiên bản tỷ lệ (409), vượt trần số đợt giao (422), vượt hạn mức tham gia (422). Review LAB-4 yêu cầu gom về một bảng và làm ở Sprint 1 để các issue tạo sau chỉ trỏ tới mã. Lỗ S-02 (mức cao, đo ở LAB-4) gộp vào đây vì cùng một file: lớp dịch lỗi thiếu mã 23503 nên lỗi rơi vào nhánh 500 và trả nguyên văn thông điệp Postgres kèm tên bảng, tên ràng buộc; nhánh 23505 cũng kèm tên ràng buộc.
Quy tắc giữ từ LAB-4: lỗi 422 neo vào ô gây lỗi; 409, 404, 403 hiện ở banner; không hiện mã kỹ thuật (23505, P0001) cho người dùng.</t>
  </si>
  <si>
    <t xml:space="preserve">Viết docs/ma-loi.md trong repo này: một dòng cho mỗi mã (mã, mã HTTP, câu hiện cho người dùng, nhãn tiếng Nhật ở màn khách tự thử, ô neo lỗi, hành động gợi ý, cột "mới ở LAB-4"); liệt kê đủ các mã kể ở bối cảnh. Đầu file có 3 dòng hướng dẫn cách thêm mã và cách trỏ từ issue. Trong mã nguồn, tạo src/lib/error-codes.ts là nơi duy nhất khai báo mã và câu lỗi; src/lib/api.ts đọc từ đó. Bổ sung ánh xạ 23503 thành 422 với câu "Dữ liệu tham chiếu không tồn tại hoặc đã bị xoá"; nhánh 23505 bỏ phần chi tiết ràng buộc; nhánh còn lại trả câu cố định và ghi nguyên văn kèm mã yêu cầu vào log server. Viết kiểm thử đơn vị cho hàm dịch lỗi (truyền thẳng đối tượng lỗi giả vào hàm, không cần database).</t>
  </si>
  <si>
    <t xml:space="preserve">1. docs/ma-loi.md có số mã bằng số mã đếm được từ src/lib/error-codes.ts (kiểm thử đọc cả hai và so số); không trùng mã; mọi mã mới ở bối cảnh có đánh dấu "mới ở LAB-4"
2. Grep chuỗi "Lỗi database" trong src ra đúng một chỗ; không route nào tự viết câu lỗi tay (grep chuỗi NextResponse.json kèm chữ "lỗi" ngoài src/lib ra 0 dòng)
3. Kiểm thử đơn vị: lỗi 23503 giả cho ra 422 và thân phản hồi không chứa chữ "constraint", "fkey" hay tên bảng; lỗi 23505 giả cho ra 409 không có tên ràng buộc; lỗi mã lạ cho ra 500 câu cố định và log có nguyên văn kèm mã yêu cầu
4. Mọi issue tạo sau issue này ở Project trỏ tới mã trong bảng khi nhắc tới lỗi; người gộp backlog kiểm bằng cách tìm chữ "mã lỗi" trong thân issue và đối chiếu bảng</t>
  </si>
  <si>
    <t xml:space="preserve">- docs/ma-loi.md (mới, trong repo này)
- src/lib/error-codes.ts (mới, một nơi khai báo mã và câu lỗi)
- src/lib/api.ts (hàm dịch lỗi)
- tests/error-mapping.test.ts (mới, kiểm thử đơn vị)</t>
  </si>
  <si>
    <t xml:space="preserve">Việc nền rải nhiều file</t>
  </si>
  <si>
    <t xml:space="preserve">docs/ma-loi.md ~45 mã, đủ 7 cột + nhãn JP 5h; error-codes.ts + refactor api.ts (23503/23505/500 + log mã yêu cầu) 5h; unit test + test so số mã doc/code 3h; dọn route tự viết câu lỗi để grep ra 0 dòng 5h; kiểm 2h. Rủi ro: chưa biết bao nhiêu route tự viết lỗi tay, có thể vượt 24h.</t>
  </si>
  <si>
    <t xml:space="preserve">#124</t>
  </si>
  <si>
    <t xml:space="preserve">X02-04</t>
  </si>
  <si>
    <t xml:space="preserve">Bước nhập mã xác thực hai lớp khi đăng nhập cho vai bắt buộc hoặc đã bật, phiên hết hạn sau 8 giờ</t>
  </si>
  <si>
    <t xml:space="preserve">E-X02 · X-02 Bảo mật và phân quyền: chặn vai ở màn, danh sách đường dẫn cho phép, rà quyền ghi, xác thực hai lớp</t>
  </si>
  <si>
    <t xml:space="preserve">Việc mới</t>
  </si>
  <si>
    <t xml:space="preserve">Theo X02-03. Thiết kế LAB-4 chốt: sau khi mật khẩu đúng, vai bắt buộc hoặc tài khoản đã bật phải nhập mã TOTP (mã dùng một lần theo thời gian) mới được đặt cookie phiên; thử thách hết hạn sau 5 phút, không có trạng thái "đăng nhập nửa chừng". Phiên trên thiết bị dùng chung hạn 8 giờ (một ca), không gia hạn trượt, không ghi nhớ thiết bị; hạn 8 giờ áp cho mọi vai vì thiết bị chung không phân biệt vai. Ước lượng gần 16 giờ; nếu khi vào sprint vượt, tách phần phiên 8 giờ thành issue riêng. Mã sai đếm vào giới hạn tốc độ của X01-04.</t>
  </si>
  <si>
    <t xml:space="preserve">Sửa route đăng nhập: mật khẩu đúng mà cần bước 2 thì không đặt cookie, trả trạng thái "cần mã hai lớp" kèm mã thử thách; route mới /api/auth/login/mfa nhận mã 6 số, đúng thì mới đặt cookie. Form đăng nhập thêm ô nhập mã (bước 2). Đặt hạn phiên 8 giờ cố định từ lúc đăng nhập ở middleware; môi trường thử cho phép đặt hạn ngắn qua biến môi trường để kiểm.</t>
  </si>
  <si>
    <t xml:space="preserve">1. Vai đối soát (tài khoản thử của X02-03) đăng nhập đúng mật khẩu nhưng chưa nhập mã: không có cookie phiên, gọi API nhận 401
2. Nhập đúng mã trong 5 phút: vào được; sau 5 phút nhập đúng mã vẫn bị từ chối với mã lỗi theo bảng X01-01, phải đăng nhập lại từ đầu
3. Vai giao hàng chưa bật: đăng nhập một bước như cũ
4. Đặt hạn phiên 1 phút trong môi trường thử, thao tác liên tục quá 1 phút thì request kế tiếp nhận 401 và về trang đăng nhập; môi trường thật đặt 8 giờ
5. Nhập sai mã 5 lần trong 5 phút: nhận 429 như X01-04; nhật ký có dòng thất bại với lý do "sai mã hai lớp"</t>
  </si>
  <si>
    <t xml:space="preserve">- src/app/api/auth/login/route.ts
- src/app/api/auth/login/mfa/route.ts (mới)
- src/components/login-form.tsx (ô nhập mã bước 2)
- src/proxy.ts (hạn phiên 8 giờ)</t>
  </si>
  <si>
    <t xml:space="preserve">#123 Màn đăng ký mã xác thực hai lớp lần đầu, cột bật tắt ở màn tài khoản, và tài khoản thử có mã cố định
#117 Giới hạn số lần đăng nhập sai và ghi nhật ký mọi lần đăng nhập thất bại, kể cả lần bị chặn</t>
  </si>
  <si>
    <t xml:space="preserve">Đại diện mảng bảo mật</t>
  </si>
  <si>
    <t xml:space="preserve">Login trả thử thách thay cookie + route /mfa xác minh TOTP, thử thách hết hạn 5 phút 7h; form bước 2 3h; hạn phiên 8h cố định ở proxy + biến môi trường rút ngắn 3h; nối rate limit X01-04 + nhật ký 2h; kiểm 5 tiêu chí 3h. Bối cảnh ước ~16h, tôi cộng 2h vì phần thử thách không trạng thái dễ phát sinh.</t>
  </si>
  <si>
    <t xml:space="preserve">#128</t>
  </si>
  <si>
    <t xml:space="preserve">X03-02</t>
  </si>
  <si>
    <t xml:space="preserve">Kiểm thử tự động cho bốn chốt chặn: bán vượt tồn, giấy phép hết hạn theo ngày nghiệp vụ, ngày đã khoá không sửa, hoàn tất giao nhận ba ca</t>
  </si>
  <si>
    <t xml:space="preserve">E-X03 · X-03 Kiểm thử và triển khai: database thử, đặt lại dữ liệu kèm kiểm nhanh, test chốt chặn, máy kiểm tự động, điện thoại, kịch bản demo</t>
  </si>
  <si>
    <t xml:space="preserve">Kiểm thử (QA)</t>
  </si>
  <si>
    <r>
      <rPr>
        <sz val="10"/>
        <rFont val="Arial"/>
        <family val="0"/>
        <charset val="1"/>
      </rPr>
      <t xml:space="preserve">Nhận xét LAB-3: có lưới kiểm thử tự động cho chốt chặn quan trọng thì lỗi lộ ra trước khi nộp. Bốn chốt chặn nằm trong database (hàm và trigger) nên thử trực tiếp trên database thử của X03-00 là đủ tin cậy. Các ca về thưởng đã ở INC-13, không lặp. Nhóm hoàn tất giao nhận cần hành vi của T08-03 nên làm sau T08-03. Theo D-25, mọi ca chạm ngày nghiệp vụ (</t>
    </r>
    <r>
      <rPr>
        <sz val="10"/>
        <rFont val="Noto Sans CJK SC"/>
        <family val="2"/>
      </rPr>
      <t xml:space="preserve">業務日</t>
    </r>
    <r>
      <rPr>
        <sz val="10"/>
        <rFont val="Arial"/>
        <family val="0"/>
        <charset val="1"/>
      </rPr>
      <t xml:space="preserve">, theo giờ Nhật) có ca nhập lúc 02:31 giờ Nhật khi máy chủ đặt múi giờ UTC. Theo D-40, hoàn tất giao nhận có ba ca giao thiếu, giao vượt, trả lại. </t>
    </r>
    <r>
      <rPr>
        <sz val="10"/>
        <rFont val="Noto Sans CJK SC"/>
        <family val="2"/>
      </rPr>
      <t xml:space="preserve">許可 </t>
    </r>
    <r>
      <rPr>
        <sz val="10"/>
        <rFont val="Arial"/>
        <family val="0"/>
        <charset val="1"/>
      </rPr>
      <t xml:space="preserve">là giấy phép, một trong hai cấp tư cách mua.</t>
    </r>
  </si>
  <si>
    <t xml:space="preserve">"Viết tests/guards.test.ts chạy trên database thử: (1) tạo giao dịch số lượng vượt tồn lô bị từ chối với mã QTY_EXCEEDED; (2) bên mua có giấy phép hết hạn đúng ngày nghiệp vụ bị từ chối, còn hạn tới hết ngày thì được, kèm ca 02:31 giờ Nhật trên máy chủ UTC; (3) sửa giao dịch, lô, đợt giao thuộc ngày đã khoá bị từ chối với mã BUSINESS_DAY_LOCKED; (4) hoàn tất giao nhận: giao thiếu không hoàn tất, giao vượt dừng ở trạng thái ngoại lệ, trả lại trừ khỏi số đã giao. Mỗi ca ghi số kỳ vọng trong mã kiểm thử."</t>
  </si>
  <si>
    <t xml:space="preserve">1. Một lệnh chạy cả bốn nhóm trên database thử; mã thoát 0 khi đúng; ít nhất 10 ca, mỗi ca có số cụ thể (ví dụ tồn 100 kg, yêu cầu 120 kg)
2. Ca nhập lúc 02:31 giờ Nhật khi máy chủ đặt UTC cho ra ngày nghiệp vụ là ngày hôm đó theo giờ Nhật, không lùi một ngày
3. Cố ý bỏ trigger khoá ngày trong database thử: nhóm (3) báo đỏ
4. Mã lỗi trong kiểm thử khớp docs/ma-loi.md (X01-01)
5. Mục riêng trong tests/README.md liệt kê 4 nhóm và cách chạy riêng từng nhóm</t>
  </si>
  <si>
    <t xml:space="preserve">- tests/guards.test.ts (mới)
- tests/README.md (bổ sung mục)</t>
  </si>
  <si>
    <t xml:space="preserve">#126 Dựng database thử bằng một lệnh từ schema và dữ liệu mẫu test, dùng chung cho mọi bộ kiểm thử
#45 Chỉ cho hoàn tất giao nhận khi số đã giao khớp số lượng</t>
  </si>
  <si>
    <t xml:space="preserve">Đại diện đội kiểm thử</t>
  </si>
  <si>
    <t xml:space="preserve">Dựng fixture riêng cho 4 nhóm 4h; viết ≥10 ca có số cụ thể, gồm ca 02:31 JST/UTC 6h; chạy thử bỏ trigger để thấy đỏ, đối chiếu mã lỗi với ma-loi.md 2h; README 1h; dự phòng chống test chập chờn 1h.</t>
  </si>
  <si>
    <t xml:space="preserve">#18</t>
  </si>
  <si>
    <t xml:space="preserve">T04-02</t>
  </si>
  <si>
    <t xml:space="preserve">Hàm tạm ngưng hồ sơ có lý do và hàm quét hết hạn, điều kiện quá hạn gọi từ job mở ngày</t>
  </si>
  <si>
    <t xml:space="preserve">E-T04 · Tư cách tham gia thị trường: bốn trạng thái, ba đường gỡ tạm ngưng theo loại, danh sách lọc được và an toàn</t>
  </si>
  <si>
    <r>
      <rPr>
        <sz val="10"/>
        <rFont val="Arial"/>
        <family val="0"/>
        <charset val="1"/>
      </rPr>
      <t xml:space="preserve">Prototype tạm dừng bằng một cập nhật cờ rời, không kiểm trạng thái hiện tại, cập nhật và nhật ký là hai lệnh rời (B-20), lỗi database lộ nguyên văn (S-02).
Thiết kế đích: tạm ngưng là chuyển tiếp </t>
    </r>
    <r>
      <rPr>
        <sz val="10"/>
        <rFont val="Noto Sans CJK SC"/>
        <family val="2"/>
      </rPr>
      <t xml:space="preserve">違反 </t>
    </r>
    <r>
      <rPr>
        <sz val="10"/>
        <rFont val="Arial"/>
        <family val="0"/>
        <charset val="1"/>
      </rPr>
      <t xml:space="preserve">(vi phạm) từ </t>
    </r>
    <r>
      <rPr>
        <sz val="10"/>
        <rFont val="Noto Sans CJK SC"/>
        <family val="2"/>
      </rPr>
      <t xml:space="preserve">有効 </t>
    </r>
    <r>
      <rPr>
        <sz val="10"/>
        <rFont val="Arial"/>
        <family val="0"/>
        <charset val="1"/>
      </rPr>
      <t xml:space="preserve">(còn hiệu lực) sang </t>
    </r>
    <r>
      <rPr>
        <sz val="10"/>
        <rFont val="Noto Sans CJK SC"/>
        <family val="2"/>
      </rPr>
      <t xml:space="preserve">一時停止 </t>
    </r>
    <r>
      <rPr>
        <sz val="10"/>
        <rFont val="Arial"/>
        <family val="0"/>
        <charset val="1"/>
      </rPr>
      <t xml:space="preserve">(tạm ngưng), lý do bắt buộc, ghi lịch sử và nhật ký trong một giao dịch database. Hồ sơ là bên mua của giao dịch chưa giao xong vẫn tạm ngưng được (chỉ chặn giao dịch mới), nhưng hàm phải trả số giao dịch đang mở để màn báo hệ quả. Hai việc theo thời gian cũng ở đây: hồ sơ quá ngày hết hạn chuyển sang </t>
    </r>
    <r>
      <rPr>
        <sz val="10"/>
        <rFont val="Noto Sans CJK SC"/>
        <family val="2"/>
      </rPr>
      <t xml:space="preserve">失効 </t>
    </r>
    <r>
      <rPr>
        <sz val="10"/>
        <rFont val="Arial"/>
        <family val="0"/>
        <charset val="1"/>
      </rPr>
      <t xml:space="preserve">(hết hiệu lực) với chuyển tiếp </t>
    </r>
    <r>
      <rPr>
        <sz val="10"/>
        <rFont val="Noto Sans CJK SC"/>
        <family val="2"/>
      </rPr>
      <t xml:space="preserve">期限切れ</t>
    </r>
    <r>
      <rPr>
        <sz val="10"/>
        <rFont val="Arial"/>
        <family val="0"/>
        <charset val="1"/>
      </rPr>
      <t xml:space="preserve">; nhà buôn trung gian được gỡ có điều kiện mà hạn điều kiện qua chưa thoả thì quay về </t>
    </r>
    <r>
      <rPr>
        <sz val="10"/>
        <rFont val="Noto Sans CJK SC"/>
        <family val="2"/>
      </rPr>
      <t xml:space="preserve">一時停止 </t>
    </r>
    <r>
      <rPr>
        <sz val="10"/>
        <rFont val="Arial"/>
        <family val="0"/>
        <charset val="1"/>
      </rPr>
      <t xml:space="preserve">với </t>
    </r>
    <r>
      <rPr>
        <sz val="10"/>
        <rFont val="Noto Sans CJK SC"/>
        <family val="2"/>
      </rPr>
      <t xml:space="preserve">違反</t>
    </r>
    <r>
      <rPr>
        <sz val="10"/>
        <rFont val="Arial"/>
        <family val="0"/>
        <charset val="1"/>
      </rPr>
      <t xml:space="preserve">. Hai việc này gom vào một hàm, do job (tác vụ chạy theo lịch) mở ngày nghiệp vụ của T09-02 gọi lúc 02:00 giờ Nhật; epic này không tự dựng job.</t>
    </r>
  </si>
  <si>
    <r>
      <rPr>
        <sz val="10"/>
        <rFont val="Arial"/>
        <family val="0"/>
        <charset val="1"/>
      </rPr>
      <t xml:space="preserve">Hàm database suspend_participant(id, lý do) trong một giao dịch: khoá dòng, kiểm trạng thái </t>
    </r>
    <r>
      <rPr>
        <sz val="10"/>
        <rFont val="Noto Sans CJK SC"/>
        <family val="2"/>
      </rPr>
      <t xml:space="preserve">有効</t>
    </r>
    <r>
      <rPr>
        <sz val="10"/>
        <rFont val="Arial"/>
        <family val="0"/>
        <charset val="1"/>
      </rPr>
      <t xml:space="preserve">, ghi lịch sử </t>
    </r>
    <r>
      <rPr>
        <sz val="10"/>
        <rFont val="Noto Sans CJK SC"/>
        <family val="2"/>
      </rPr>
      <t xml:space="preserve">違反</t>
    </r>
    <r>
      <rPr>
        <sz val="10"/>
        <rFont val="Arial"/>
        <family val="0"/>
        <charset val="1"/>
      </rPr>
      <t xml:space="preserve">, ghi nhật ký participant.suspend, trả số giao dịch đang mở của hồ sơ; API POST /api/participants/[id]/suspend gọi hàm này, bỏ nhánh tạm dừng khỏi PATCH; lỗi database trả câu cố định. Hàm database sweep_qualifications(ngày nghiệp vụ): chuyển hồ sơ </t>
    </r>
    <r>
      <rPr>
        <sz val="10"/>
        <rFont val="Noto Sans CJK SC"/>
        <family val="2"/>
      </rPr>
      <t xml:space="preserve">有効 </t>
    </r>
    <r>
      <rPr>
        <sz val="10"/>
        <rFont val="Arial"/>
        <family val="0"/>
        <charset val="1"/>
      </rPr>
      <t xml:space="preserve">hoặc </t>
    </r>
    <r>
      <rPr>
        <sz val="10"/>
        <rFont val="Noto Sans CJK SC"/>
        <family val="2"/>
      </rPr>
      <t xml:space="preserve">一時停止 </t>
    </r>
    <r>
      <rPr>
        <sz val="10"/>
        <rFont val="Arial"/>
        <family val="0"/>
        <charset val="1"/>
      </rPr>
      <t xml:space="preserve">có valid_to nhỏ hơn ngày nghiệp vụ sang </t>
    </r>
    <r>
      <rPr>
        <sz val="10"/>
        <rFont val="Noto Sans CJK SC"/>
        <family val="2"/>
      </rPr>
      <t xml:space="preserve">失効 </t>
    </r>
    <r>
      <rPr>
        <sz val="10"/>
        <rFont val="Arial"/>
        <family val="0"/>
        <charset val="1"/>
      </rPr>
      <t xml:space="preserve">kèm lịch sử </t>
    </r>
    <r>
      <rPr>
        <sz val="10"/>
        <rFont val="Noto Sans CJK SC"/>
        <family val="2"/>
      </rPr>
      <t xml:space="preserve">期限切れ</t>
    </r>
    <r>
      <rPr>
        <sz val="10"/>
        <rFont val="Arial"/>
        <family val="0"/>
        <charset val="1"/>
      </rPr>
      <t xml:space="preserve">; chuyển hồ sơ có condition_due nhỏ hơn ngày nghiệp vụ và chưa đánh dấu thoả về </t>
    </r>
    <r>
      <rPr>
        <sz val="10"/>
        <rFont val="Noto Sans CJK SC"/>
        <family val="2"/>
      </rPr>
      <t xml:space="preserve">一時停止 </t>
    </r>
    <r>
      <rPr>
        <sz val="10"/>
        <rFont val="Arial"/>
        <family val="0"/>
        <charset val="1"/>
      </rPr>
      <t xml:space="preserve">kèm lịch sử </t>
    </r>
    <r>
      <rPr>
        <sz val="10"/>
        <rFont val="Noto Sans CJK SC"/>
        <family val="2"/>
      </rPr>
      <t xml:space="preserve">違反</t>
    </r>
    <r>
      <rPr>
        <sz val="10"/>
        <rFont val="Arial"/>
        <family val="0"/>
        <charset val="1"/>
      </rPr>
      <t xml:space="preserve">, lý do "Điều kiện gỡ quá hạn chưa thoả". Hàm chạy lặp lại không tạo dòng trùng. Thông báo cho vai tiếp nhận khi điều kiện quá hạn do epic T-15 (T15-03 / T15-04) sinh từ dòng lịch sử, không làm ở đây.</t>
    </r>
  </si>
  <si>
    <r>
      <rPr>
        <sz val="10"/>
        <rFont val="Arial"/>
        <family val="0"/>
        <charset val="1"/>
      </rPr>
      <t xml:space="preserve">1. Tạm ngưng hồ sơ </t>
    </r>
    <r>
      <rPr>
        <sz val="10"/>
        <rFont val="Noto Sans CJK SC"/>
        <family val="2"/>
      </rPr>
      <t xml:space="preserve">有効 </t>
    </r>
    <r>
      <rPr>
        <sz val="10"/>
        <rFont val="Arial"/>
        <family val="0"/>
        <charset val="1"/>
      </rPr>
      <t xml:space="preserve">kèm lý do: trạng thái thành </t>
    </r>
    <r>
      <rPr>
        <sz val="10"/>
        <rFont val="Noto Sans CJK SC"/>
        <family val="2"/>
      </rPr>
      <t xml:space="preserve">一時停止</t>
    </r>
    <r>
      <rPr>
        <sz val="10"/>
        <rFont val="Arial"/>
        <family val="0"/>
        <charset val="1"/>
      </rPr>
      <t xml:space="preserve">, có dòng lịch sử </t>
    </r>
    <r>
      <rPr>
        <sz val="10"/>
        <rFont val="Noto Sans CJK SC"/>
        <family val="2"/>
      </rPr>
      <t xml:space="preserve">違反 </t>
    </r>
    <r>
      <rPr>
        <sz val="10"/>
        <rFont val="Arial"/>
        <family val="0"/>
        <charset val="1"/>
      </rPr>
      <t xml:space="preserve">và dòng nhật ký; phản hồi có số giao dịch đang mở đúng với dữ liệu mẫu (ví dụ 2)
2. Thiếu lý do bị từ chối 422 mã REASON_REQUIRED; tạm ngưng hồ sơ đang </t>
    </r>
    <r>
      <rPr>
        <sz val="10"/>
        <rFont val="Noto Sans CJK SC"/>
        <family val="2"/>
      </rPr>
      <t xml:space="preserve">一時停止 </t>
    </r>
    <r>
      <rPr>
        <sz val="10"/>
        <rFont val="Arial"/>
        <family val="0"/>
        <charset val="1"/>
      </rPr>
      <t xml:space="preserve">bị từ chối 409 INVALID_TRANSITION
3. Hai người cùng tạm ngưng một hồ sơ: một thành công, một nhận 409
4. Hồ sơ valid_to là hôm qua theo giờ Nhật: gọi hàm quét với ngày nghiệp vụ hôm nay thì sang </t>
    </r>
    <r>
      <rPr>
        <sz val="10"/>
        <rFont val="Noto Sans CJK SC"/>
        <family val="2"/>
      </rPr>
      <t xml:space="preserve">失効</t>
    </r>
    <r>
      <rPr>
        <sz val="10"/>
        <rFont val="Arial"/>
        <family val="0"/>
        <charset val="1"/>
      </rPr>
      <t xml:space="preserve">, có lịch sử </t>
    </r>
    <r>
      <rPr>
        <sz val="10"/>
        <rFont val="Noto Sans CJK SC"/>
        <family val="2"/>
      </rPr>
      <t xml:space="preserve">期限切れ</t>
    </r>
    <r>
      <rPr>
        <sz val="10"/>
        <rFont val="Arial"/>
        <family val="0"/>
        <charset val="1"/>
      </rPr>
      <t xml:space="preserve">, is_suspended true, tạo giao dịch bị chặn PERMIT_INVALID
5. Máy chủ đặt múi giờ UTC, job gọi hàm lúc 02:31 giờ Nhật thì ngày dùng để so vẫn là ngày nghiệp vụ theo giờ Nhật
6. Hồ sơ có hạn điều kiện là hôm qua, chưa thoả: sau quét về </t>
    </r>
    <r>
      <rPr>
        <sz val="10"/>
        <rFont val="Noto Sans CJK SC"/>
        <family val="2"/>
      </rPr>
      <t xml:space="preserve">一時停止 </t>
    </r>
    <r>
      <rPr>
        <sz val="10"/>
        <rFont val="Arial"/>
        <family val="0"/>
        <charset val="1"/>
      </rPr>
      <t xml:space="preserve">với lịch sử </t>
    </r>
    <r>
      <rPr>
        <sz val="10"/>
        <rFont val="Noto Sans CJK SC"/>
        <family val="2"/>
      </rPr>
      <t xml:space="preserve">違反</t>
    </r>
    <r>
      <rPr>
        <sz val="10"/>
        <rFont val="Arial"/>
        <family val="0"/>
        <charset val="1"/>
      </rPr>
      <t xml:space="preserve">; gọi quét lần hai không thêm dòng nào
7. Lỗi database bất kỳ trả "Không xử lý được, thử lại sau", không có tên bảng hay ràng buộc</t>
    </r>
  </si>
  <si>
    <t xml:space="preserve">- supabase/schema.sql (hàm suspend_participant, hàm sweep_qualifications)
- src/app/api/participants/[id]/suspend/route.ts (mới)
- src/app/api/participants/[id]/route.ts (bỏ nhánh tạm dừng khỏi PATCH)</t>
  </si>
  <si>
    <t xml:space="preserve">#17 Cột trạng thái tư cách bốn giá trị và bảng lịch sử tư cách đủ 13 cột, có bộ chặn chuyển trạng thái sai
#52 Tự mở ngày nghiệp vụ theo lịch và chặn giao dịch ngoài giờ chợ</t>
  </si>
  <si>
    <t xml:space="preserve">Hai hàm database và một tác vụ quét</t>
  </si>
  <si>
    <t xml:space="preserve">suspend_participant (khoá, kiểm trạng thái, lịch sử, nhật ký, đếm giao dịch mở) 4h; route suspend mới + bỏ nhánh PATCH 2h; sweep_qualifications 2 nhánh, chạy lặp không trùng 3h; kiểm 7 tiêu chí gồm đồng thời và 02:31 JST 5h.</t>
  </si>
  <si>
    <t xml:space="preserve">#51</t>
  </si>
  <si>
    <t xml:space="preserve">T09-01</t>
  </si>
  <si>
    <t xml:space="preserve">Bảng lịch chợ và màn quản trị lịch theo tháng</t>
  </si>
  <si>
    <t xml:space="preserve">E-T09 · Đối soát ngày, khoá ngày nghiệp vụ, tranh chấp và lịch chợ</t>
  </si>
  <si>
    <r>
      <rPr>
        <sz val="10"/>
        <rFont val="Arial"/>
        <family val="0"/>
        <charset val="1"/>
      </rPr>
      <t xml:space="preserve">Review LAB-4 (PREMISE D-43): lịch chợ mới chỉ có tên bảng, chưa có cột; prototype chưa có bảng này, ngày nghiệp vụ đang chọn tay. Lịch chợ là căn cứ để mở ngày nghiệp vụ tự động và chặn tạo giao dịch ngoài giờ hoặc vào ngày nghỉ chợ (</t>
    </r>
    <r>
      <rPr>
        <sz val="10"/>
        <rFont val="Noto Sans CJK SC"/>
        <family val="2"/>
      </rPr>
      <t xml:space="preserve">休市日</t>
    </r>
    <r>
      <rPr>
        <sz val="10"/>
        <rFont val="Arial"/>
        <family val="0"/>
        <charset val="1"/>
      </rPr>
      <t xml:space="preserve">) ở T09-02. Mọi giờ trong lịch tính theo giờ Nhật (D-25); mặc định mở 02:00, đóng 10:00. Lớp nặng nhất là màn lưới tháng; bảng và API đi kèm.</t>
    </r>
  </si>
  <si>
    <t xml:space="preserve">Migration (bước đổi cấu trúc database, có bước quay lại) tạo bảng market_calendar: ngày (duy nhất), loại ngày (mở / nghỉ), giờ mở, giờ đóng, ghi chú, người sửa, thời điểm sửa; ràng buộc giờ mở nhỏ hơn giờ đóng. API đọc theo tháng, ghi một ngày, và tạo lịch mặc định cho một tháng (thứ Hai đến thứ Bảy mở, Chủ nhật nghỉ); chỉ vai quản trị hệ thống và vai đối soát ghi được; mỗi lần ghi một dòng nhật ký giá trị trước và sau; không cho đổi ngày đã khoá, không cho đổi sang nghỉ ngày đã có giao dịch. Màn lưới tháng trong khu đối soát: mỗi ô hiện loại ngày, giờ, dấu đã khoá; bấm ô mở hộp sửa; nút tạo lịch mặc định; tháng nằm trên đường dẫn (?month=). Dữ liệu mẫu có lịch 2 tháng.</t>
  </si>
  <si>
    <t xml:space="preserve">1. Nhập giờ mở 10:00 và giờ đóng 02:00 thì lỗi hiện ngay tại ô và API cũng từ chối
2. Tạo lịch mặc định tháng 2026-11 tạo đúng 30 dòng, Chủ nhật là nghỉ; bấm lại lần hai không tạo trùng
3. Đổi một ngày đã có 3 giao dịch sang nghỉ bị từ chối, thông báo nêu ngày đã có giao dịch; đổi ngày đã khoá bị từ chối
4. Vai bán buôn gõ thẳng đường dẫn bị chuyển về trang chính, gọi API ghi nhận lỗi quyền
5. Bấm Back sau khi đổi tháng thì quay đúng tháng trước đó; lưới tháng dùng được trên màn 390 px, không cuộn ngang
6. Chạy bước quay lại migration thì bảng biến mất, bảng ngày nghiệp vụ không đổi</t>
  </si>
  <si>
    <t xml:space="preserve">- supabase/schema.sql (bảng market_calendar mới)
- src/app/api/settlement/calendar/route.ts (mới)
- src/app/(app)/settlement/calendar/page.tsx (mới, dự kiến)
- src/lib/roles.ts (mục menu, dự kiến)</t>
  </si>
  <si>
    <t xml:space="preserve">Việc mới hoàn toàn (D-43), có bảng dữ liệu lẫn màn</t>
  </si>
  <si>
    <t xml:space="preserve">Migration market_calendar + rollback 2h; API đọc tháng/ghi ngày/tạo mặc định, quyền, nhật ký trước-sau, chặn ngày khoá/có giao dịch 8h; màn lưới tháng + hộp sửa + ?month= 9h; lưới tháng 390 px không cuộn ngang 3h; seed 2 tháng, menu 2h; DoD chung + kiểm 4h.</t>
  </si>
  <si>
    <t xml:space="preserve">#65</t>
  </si>
  <si>
    <t xml:space="preserve">INC-06</t>
  </si>
  <si>
    <t xml:space="preserve">Hàm tính thưởng: chọn bậc theo loại bên mua, đọc bảng tiền về, lọc dòng chênh lệch như dòng gốc</t>
  </si>
  <si>
    <r>
      <rPr>
        <sz val="10"/>
        <rFont val="Arial"/>
        <family val="0"/>
        <charset val="1"/>
      </rPr>
      <t xml:space="preserve">E-INC · Thưởng thanh toán đủ hạn (</t>
    </r>
    <r>
      <rPr>
        <sz val="10"/>
        <rFont val="Noto Sans CJK SC"/>
        <family val="2"/>
      </rPr>
      <t xml:space="preserve">完納奨励金</t>
    </r>
    <r>
      <rPr>
        <sz val="10"/>
        <rFont val="Arial"/>
        <family val="0"/>
        <charset val="1"/>
      </rPr>
      <t xml:space="preserve">): ngày thanh toán, bảng tỷ lệ, tính và chốt kỳ</t>
    </r>
  </si>
  <si>
    <t xml:space="preserve">Hàm tính hiện chọn bậc chỉ theo số tiền và đọc cột paid_at cũ. B-12: dòng chênh lệch không lọc trạng thái và ngày thanh toán, nên giao dịch đã huỷ hoặc chưa trả vẫn sinh thưởng chênh lệch. Dòng chênh lệch giữ tỷ lệ của dòng gốc kỳ gốc, không chọn lại bậc (theo thiết kế chi tiết LAB-4 của phần thưởng). Việc đẩy dòng chênh lệch sang kỳ mở làm ở INC-09a, không làm ở đây.</t>
  </si>
  <si>
    <t xml:space="preserve">Sửa hàm tính trong database: đọc ngày thanh toán từ bảng tiền về (ưu tiên dòng kế toán); dòng gốc chọn bậc theo loại bên mua rồi theo số tiền; dòng chênh lệch áp cùng bộ lọc với dòng gốc (giao dịch đã xác nhận, thanh toán trước hoặc đúng ngày hạn) và giữ tỷ lệ kỳ gốc. Kết quả đấu giá ở trạng thái chờ xác nhận (D-42, epic giao dịch) không tính vào thưởng cho tới khi được xác nhận.
Giữ nguyên: nhân 110/100, làm tròn xuống yên ở từng dòng, không làm tròn lại ở tổng, dòng chênh lệch làm tròn về 0.</t>
  </si>
  <si>
    <t xml:space="preserve">1. Ba ca biên của phụ lục kiểm thử RFP (đúng ngưỡng tối thiểu, điều chỉnh sau chốt kỳ, số lẻ sau nhân thuế) cho kết quả tính tay khớp
2. Trả đúng ngày hạn thì được thưởng; trả trễ một ngày thì thưởng 0, không có ân hạn
3. Giao dịch đã huỷ có điều chỉnh không sinh dòng chênh lệch
4. Dòng chênh lệch của giao dịch mà kỳ gốc dùng tỷ lệ 0,5% vẫn dùng 0,5% dù phiên bản hiện hành đã đổi
5. Hai bên mua cùng số tiền nhưng khác loại được tỷ lệ khác nhau khi phiên bản khai theo loại
6. Giao dịch có ngày thanh toán ở cột paid_at cũ nhưng không có dòng tiền về thì tính là chưa thanh toán
7. Kết quả đấu giá chờ xác nhận có ngày thanh toán vẫn không sinh dòng thưởng; sau khi xác nhận thì sinh</t>
  </si>
  <si>
    <t xml:space="preserve">- supabase/schema.sql (hàm calculate_incentives, phần dòng gốc và dòng delta)</t>
  </si>
  <si>
    <t xml:space="preserve">#64 Bảng tỷ lệ thưởng: thêm cột loại bên mua, ép bậc tăng dần, tối đa 4 chữ số thập phân (database và API)
#61 API nhập file CSV ngày thanh toán vào bảng tiền về, kiểm trùng, ghi kèm nguồn</t>
  </si>
  <si>
    <r>
      <rPr>
        <sz val="10"/>
        <rFont val="Arial"/>
        <family val="0"/>
        <charset val="1"/>
      </rPr>
      <t xml:space="preserve">Lõi </t>
    </r>
    <r>
      <rPr>
        <sz val="10"/>
        <rFont val="Noto Sans CJK SC"/>
        <family val="2"/>
      </rPr>
      <t xml:space="preserve">完納奨励金</t>
    </r>
    <r>
      <rPr>
        <sz val="10"/>
        <rFont val="Arial"/>
        <family val="0"/>
        <charset val="1"/>
      </rPr>
      <t xml:space="preserve">, đề bắt buộc có</t>
    </r>
  </si>
  <si>
    <t xml:space="preserve">Hiểu logic thưởng hiện tại + ca biên RFP 3h; sửa calculate_incentives (đọc bảng tiền về, chọn bậc theo loại bên mua, bộ lọc dòng chênh lệch, giữ tỷ lệ kỳ gốc, loại kết quả đấu giá chờ xác nhận) 7h; tính tay và kiểm 7 ca 6h. Rủi ro hiểu sai quy tắc làm tròn/kỳ gốc.</t>
  </si>
  <si>
    <t xml:space="preserve">#88</t>
  </si>
  <si>
    <t xml:space="preserve">T14-02</t>
  </si>
  <si>
    <t xml:space="preserve">Ba báo cáo theo ngày nghiệp vụ về giao dịch, lô và đối soát kế toán</t>
  </si>
  <si>
    <t xml:space="preserve">E-T14 · Báo cáo và xuất dữ liệu: đủ 12 báo cáo theo đúng mã của RFP, xuất tệp an toàn, báo cáo ngày xong trước 11:00 giờ Nhật</t>
  </si>
  <si>
    <r>
      <rPr>
        <sz val="10"/>
        <rFont val="Arial"/>
        <family val="0"/>
        <charset val="1"/>
      </rPr>
      <t xml:space="preserve">Ba báo cáo RPT-01, RPT-02, RPT-06 của TBL-REPORT-01 đang trả 501 (D-05). Cả ba lọc theo </t>
    </r>
    <r>
      <rPr>
        <sz val="10"/>
        <rFont val="Noto Sans CJK SC"/>
        <family val="2"/>
      </rPr>
      <t xml:space="preserve">業務日 </t>
    </r>
    <r>
      <rPr>
        <sz val="10"/>
        <rFont val="Arial"/>
        <family val="0"/>
        <charset val="1"/>
      </rPr>
      <t xml:space="preserve">(ngày nghiệp vụ, theo giờ Nhật) và đọc từ bảng giao dịch, bảng lô, bảng chênh lệch và nhật ký thao tác đã có trong prototype. RPT-06 cần ngày thanh toán, đọc từ bảng tiền về do INC-02 tạo. Cột của ba báo cáo là đề xuất của đội vì RFP chỉ nêu tên báo cáo (chỗ tự quyết); khách đổi cột thì chỉ sửa khai báo cột trong sổ đăng ký. Báo cáo không tính lại tiền, chỉ chép số đã chốt trong database. CSV là tệp bảng dạng chữ mở được bằng Excel.</t>
    </r>
  </si>
  <si>
    <r>
      <rPr>
        <sz val="10"/>
        <rFont val="Arial"/>
        <family val="0"/>
        <charset val="1"/>
      </rPr>
      <t xml:space="preserve">Thêm ba tệp báo cáo vào sổ đăng ký (T14-01), khai kiểu từng cột; nhãn cột tiếng Nhật, ghi thêm vào bảng nhãn chung docs/nhan-tieng-nhat.md (do INC-11 tạo; chưa có thì tạo).
RPT-01 tổng hợp giao dịch ngày: một dòng cho mỗi cặp loại giao dịch (thoả thuận, </t>
    </r>
    <r>
      <rPr>
        <sz val="10"/>
        <rFont val="Noto Sans CJK SC"/>
        <family val="2"/>
      </rPr>
      <t xml:space="preserve">せり </t>
    </r>
    <r>
      <rPr>
        <sz val="10"/>
        <rFont val="Arial"/>
        <family val="0"/>
        <charset val="1"/>
      </rPr>
      <t xml:space="preserve">tức đấu giá) × loại bên mua; cột: loại giao dịch, loại bên mua, số giao dịch, tổng số lượng, tổng thành tiền, số giao dịch đã huỷ, tiền điều chỉnh; dòng tổng cuối tệp. RPT-02 lịch sử lô và trạng thái giao dịch (lọc theo ngày tiếp nhận): một dòng mỗi lô; cột: mã lô, loài, nguồn gốc, số lượng nhận, trạng thái lô hiện tại, thời điểm tiếp nhận, thời điểm thẩm định, thời điểm công khai, số giao dịch gắn với lô, trạng thái giao dịch, đã giao xong hay chưa.
RPT-06 xuất đối soát kế toán: một dòng mỗi giao dịch đã xác nhận; cột: mã giao dịch, mã bên mua, tên bên mua, thành tiền gốc, tiền điều chỉnh, thành tiền sau điều chỉnh, hạn thanh toán, ngày thanh toán, nguồn ngày thanh toán (kế toán / nhập tay / chưa có), mã tham chiếu kế toán. Chọn ngày còn mở thì vẫn xuất, màn đã có cảnh báo vàng.</t>
    </r>
  </si>
  <si>
    <t xml:space="preserve">1. Tải ba báo cáo với ngày đã khoá trong dữ liệu mẫu: mỗi tệp có đúng các cột nêu trên, nhãn cột tiếng Nhật, ngày dạng YYYY/MM/DD
2. RPT-01: tổng số giao dịch của mọi dòng bằng số giao dịch trong ngày trên màn danh sách giao dịch; giao dịch đã huỷ không cộng vào thành tiền
3. RPT-02: lô có điều chỉnh số lượng hiện trạng thái đúng; lô chưa công khai có ô thời điểm công khai trống, không hiện mã thô
4. RPT-06: giao dịch có dòng tiền về nguồn kế toán hiện ngày thanh toán và nguồn Kế toán; giao dịch chưa có dòng tiền về hiện Chưa có, không lấy cột paid_at cũ
5. RPT-06: tiền điều chỉnh âm xuất ra là số âm, Excel cộng được (theo quy tắc cột số của T14-01)
6. Ngày không có giao dịch: tệp chỉ có dòng tiêu đề, số dòng 0, vẫn ghi nhật ký xuất</t>
  </si>
  <si>
    <t xml:space="preserve">- src/app/api/reports/rpt/rpt-01.ts (mới)
- src/app/api/reports/rpt/rpt-02.ts (mới)
- src/app/api/reports/rpt/rpt-06.ts (mới)
- src/app/api/reports/rpt/registry.ts (đăng ký ba báo cáo)
- docs/nhan-tieng-nhat.md (bổ sung nhãn cột)</t>
  </si>
  <si>
    <t xml:space="preserve">#85 Danh mục báo cáo đúng mã RFP và bộ xuất tệp CSV dùng chung an toàn
#61 API nhập file CSV ngày thanh toán vào bảng tiền về, kiểm trùng, ghi kèm nguồn</t>
  </si>
  <si>
    <t xml:space="preserve">So giờ trực tiếp với LAB-1 (gói báo cáo)</t>
  </si>
  <si>
    <t xml:space="preserve">RPT-01 4h, RPT-02 4h (nhiều mốc thời gian, join lô–giao dịch), RPT-06 4h (nguồn ngày thanh toán); đăng ký + nhãn cột JP 2h; kiểm 6 tiêu chí đối chiếu màn danh sách, mở Excel 4h. Giả định bộ xuất CSV #85 dùng chung đã xong.</t>
  </si>
  <si>
    <t xml:space="preserve">#105</t>
  </si>
  <si>
    <t xml:space="preserve">T15-05</t>
  </si>
  <si>
    <t xml:space="preserve">Màn cài đặt thông báo cho vai quản trị hệ thống sửa sáu quy tắc có lý do</t>
  </si>
  <si>
    <t xml:space="preserve">E-T15 · Quy tắc thông báo và gửi thông báo: bảng quy tắc, sinh thông báo từ sự kiện, gửi email có thử lại, hàng đợi cảnh báo</t>
  </si>
  <si>
    <t xml:space="preserve">Màn SCR-24 chưa có trong prototype (D-03). Chỉ vai quản trị hệ thống được vào; vai quản trị quy tắc không được, vì đây là cấu hình vận hành, gộp quyền sẽ cho một người tự đổi người nhận cảnh báo về mình. Lớp nặng nhất là màn hình; API đã có ở T15-01, chỉ thêm đường "gửi thử" ghi dòng log có cờ gửi thử (T15-02). Hộp thoại dùng thành phần chung của INC-10, không dùng hộp thoại trình duyệt (D-12); chặn vai ở lớp máy chủ theo cách của X02-01. Ngưỡng hồ sơ sắp hết hạn trên màn này cũng là ngưỡng bộ lọc của màn SCR-05 (T02-01), phải nói rõ cho người sửa.</t>
  </si>
  <si>
    <t xml:space="preserve">Tạo trang /admin/notification-rules: bảng 6 dòng, mỗi dòng một loại thông báo với bật/tắt, vai nhận, người nhận chỉ định, kênh, ngưỡng, giờ gửi, ngày gửi, số lần thử lại, hiệu lực từ, lần gửi gần nhất. Bấm sửa mở biểu mẫu trong hộp thoại chung; lưu bắt lý do; biểu mẫu gửi kèm mã dòng cơ sở để API bắt xung đột; lưu xong hiện thông báo thành công bằng chữ. Dòng hồ sơ sắp hết hạn có cảnh báo vàng "ngưỡng này cũng đổi bộ lọc sắp hết hạn ở màn danh sách hồ sơ". Ô vai nhận bỏ vai "xem" với hai loại cần quyền ghi (tranh chấp mở, điều chỉnh chờ duyệt). Nút "Gửi thử" gọi API gửi thử tới chính người đang đăng nhập, hiện kết quả từng kênh. Khung "Lịch sử phiên bản" đọc nhật ký thao tác lọc theo loại, 50 dòng gần nhất. Thêm mục menu cho vai quản trị hệ thống; vai khác gõ đường dẫn thấy trang 403.</t>
  </si>
  <si>
    <t xml:space="preserve">1. Màn hiện đủ 6 dòng sau khi đặt lại dữ liệu mẫu, dòng kỳ thưởng đã chốt có vai đối soát và quản trị quy tắc
2. Sửa ngưỡng hồ sơ sắp hết hạn từ 30 thành 45 không ghi lý do: nút lưu không bấm được, lỗi hiện tại ô lý do; có lý do thì lưu được, bảng hiện 45, cảnh báo vàng về bộ lọc SCR-05 có hiện
3. Nhập số lần thử lại 4 hoặc ngưỡng 366: lỗi ngay tại ô, không gửi; giờ gửi 11:00 cho loại không phải lỗi xuất dữ liệu: lỗi tại ô nêu khung 02:00–10:00
4. Mở biểu mẫu ở hai tab, lưu tab một rồi lưu tab hai: tab hai báo đã có bản mới, tải lại, không ghi đè
5. Bấm Gửi thử cho loại có kênh email khi chưa cấu hình nhà cung cấp: màn hiện kênh trong ứng dụng thành công, kênh email lỗi với lý do bằng chữ; hộp thư của người bấm có thông báo đánh dấu gửi thử
6. Vai đối soát không thấy mục menu, gõ /admin/notification-rules thấy trang 403; lịch sử phiên bản hiện dòng vừa lưu với lý do, người sửa, giá trị trước và sau bằng chữ</t>
  </si>
  <si>
    <t xml:space="preserve">- src/app/(app)/admin/notification-rules/page.tsx (mới)
- src/app/api/admin/notification-rules/[id]/test/route.ts (mới)
- src/lib/roles.ts (mục menu)</t>
  </si>
  <si>
    <t xml:space="preserve">#97 Bảng quy tắc thông báo có phiên bản, API lưu quy tắc và hàm ghi thông báo dùng chung
#100 Gửi email thật có thử lại tối đa 3 lần rồi chuyển vào hàng đợi cảnh báo
#72 Hộp thoại xác nhận tính và chốt kỳ hiện số đọc tại lúc mở, bỏ hộp thoại mặc định của trình duyệt</t>
  </si>
  <si>
    <t xml:space="preserve">So giờ trực tiếp với LAB-1 (gói thông báo)</t>
  </si>
  <si>
    <t xml:space="preserve">Bảng 6 dòng nhiều cột 4h; biểu mẫu sửa trong hộp thoại chung, kiểm ô (thử lại, ngưỡng, khung giờ 02:00–10:00), bắt lý do 7h; bắt xung đột 2 tab 3h; route gửi thử + hiện kết quả từng kênh 5h; lịch sử phiên bản đọc nhật ký 3h; menu + chặn 403 ở máy chủ 2h; DoD chung + kiểm 6h.</t>
  </si>
  <si>
    <t xml:space="preserve">Tổng giờ 15 issue</t>
  </si>
  <si>
    <t xml:space="preserve">Số issue đã ước</t>
  </si>
</sst>
</file>

<file path=xl/styles.xml><?xml version="1.0" encoding="utf-8"?>
<styleSheet xmlns="http://schemas.openxmlformats.org/spreadsheetml/2006/main">
  <numFmts count="2">
    <numFmt numFmtId="164" formatCode="General"/>
    <numFmt numFmtId="165" formatCode="0.0"/>
  </numFmts>
  <fonts count="13">
    <font>
      <sz val="11"/>
      <color theme="1"/>
      <name val="Calibri"/>
      <family val="2"/>
      <charset val="1"/>
    </font>
    <font>
      <sz val="10"/>
      <name val="Arial"/>
      <family val="0"/>
    </font>
    <font>
      <sz val="10"/>
      <name val="Arial"/>
      <family val="0"/>
    </font>
    <font>
      <sz val="10"/>
      <name val="Arial"/>
      <family val="0"/>
    </font>
    <font>
      <b val="true"/>
      <sz val="12"/>
      <name val="Arial"/>
      <family val="0"/>
      <charset val="1"/>
    </font>
    <font>
      <sz val="10"/>
      <name val="Arial"/>
      <family val="0"/>
      <charset val="1"/>
    </font>
    <font>
      <b val="true"/>
      <sz val="10"/>
      <name val="Arial"/>
      <family val="0"/>
      <charset val="1"/>
    </font>
    <font>
      <b val="true"/>
      <sz val="11"/>
      <name val="Arial"/>
      <family val="0"/>
      <charset val="1"/>
    </font>
    <font>
      <b val="true"/>
      <sz val="10"/>
      <name val="Noto Sans CJK SC"/>
      <family val="2"/>
    </font>
    <font>
      <b val="true"/>
      <sz val="11"/>
      <color rgb="FFFFFFFF"/>
      <name val="Arial"/>
      <family val="0"/>
      <charset val="1"/>
    </font>
    <font>
      <u val="single"/>
      <sz val="10"/>
      <color rgb="FF0563C1"/>
      <name val="Arial"/>
      <family val="0"/>
      <charset val="1"/>
    </font>
    <font>
      <sz val="10"/>
      <name val="Noto Sans CJK SC"/>
      <family val="2"/>
    </font>
    <font>
      <b val="true"/>
      <sz val="11"/>
      <color rgb="FF0000FF"/>
      <name val="Arial"/>
      <family val="0"/>
      <charset val="1"/>
    </font>
  </fonts>
  <fills count="5">
    <fill>
      <patternFill patternType="none"/>
    </fill>
    <fill>
      <patternFill patternType="gray125"/>
    </fill>
    <fill>
      <patternFill patternType="solid">
        <fgColor rgb="FF1F4E78"/>
        <bgColor rgb="FF003366"/>
      </patternFill>
    </fill>
    <fill>
      <patternFill patternType="solid">
        <fgColor rgb="FFFFFF00"/>
        <bgColor rgb="FFFFFF00"/>
      </patternFill>
    </fill>
    <fill>
      <patternFill patternType="solid">
        <fgColor rgb="FFFFF2CC"/>
        <bgColor rgb="FFFFFFFF"/>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9" fillId="2" borderId="1" xfId="0" applyFont="true" applyBorder="true" applyAlignment="true" applyProtection="false">
      <alignment horizontal="center" vertical="center"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10" fillId="0" borderId="1" xfId="0" applyFont="true" applyBorder="true" applyAlignment="true" applyProtection="false">
      <alignment horizontal="general" vertical="top" textRotation="0" wrapText="true" indent="0" shrinkToFit="false"/>
      <protection locked="true" hidden="false"/>
    </xf>
    <xf numFmtId="165" fontId="12" fillId="3" borderId="1" xfId="0" applyFont="true" applyBorder="true" applyAlignment="true" applyProtection="false">
      <alignment horizontal="center" vertical="top" textRotation="0" wrapText="false" indent="0" shrinkToFit="false"/>
      <protection locked="true" hidden="false"/>
    </xf>
    <xf numFmtId="164" fontId="5" fillId="4"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5" fontId="7" fillId="0" borderId="1" xfId="0" applyFont="true" applyBorder="true" applyAlignment="true" applyProtection="fals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7">
    <dxf>
      <fill>
        <patternFill patternType="solid">
          <fgColor rgb="FF1F4E78"/>
          <bgColor rgb="FF000000"/>
        </patternFill>
      </fill>
    </dxf>
    <dxf>
      <fill>
        <patternFill patternType="solid">
          <bgColor rgb="FF000000"/>
        </patternFill>
      </fill>
    </dxf>
    <dxf>
      <fill>
        <patternFill patternType="solid">
          <fgColor rgb="FFFFFFFF"/>
          <bgColor rgb="FF000000"/>
        </patternFill>
      </fill>
    </dxf>
    <dxf>
      <fill>
        <patternFill patternType="solid">
          <fgColor rgb="FF0563C1"/>
          <bgColor rgb="FF000000"/>
        </patternFill>
      </fill>
    </dxf>
    <dxf>
      <fill>
        <patternFill patternType="solid">
          <fgColor rgb="FFFFFF00"/>
          <bgColor rgb="FF000000"/>
        </patternFill>
      </fill>
    </dxf>
    <dxf>
      <fill>
        <patternFill patternType="solid">
          <fgColor rgb="FF0000FF"/>
          <bgColor rgb="FF000000"/>
        </patternFill>
      </fill>
    </dxf>
    <dxf>
      <fill>
        <patternFill patternType="solid">
          <fgColor rgb="FFFFF2CC"/>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hyperlink" Target="https://github.com/mytcn-1511/product-a-lab5-backlog/issues/32" TargetMode="External"/><Relationship Id="rId2" Type="http://schemas.openxmlformats.org/officeDocument/2006/relationships/hyperlink" Target="https://github.com/mytcn-1511/product-a-lab5-backlog/issues/27" TargetMode="External"/><Relationship Id="rId3" Type="http://schemas.openxmlformats.org/officeDocument/2006/relationships/hyperlink" Target="https://github.com/mytcn-1511/product-a-lab5-backlog/issues/7" TargetMode="External"/><Relationship Id="rId4" Type="http://schemas.openxmlformats.org/officeDocument/2006/relationships/hyperlink" Target="https://github.com/mytcn-1511/product-a-lab5-backlog/issues/9" TargetMode="External"/><Relationship Id="rId5" Type="http://schemas.openxmlformats.org/officeDocument/2006/relationships/hyperlink" Target="https://github.com/mytcn-1511/product-a-lab5-backlog/issues/45" TargetMode="External"/><Relationship Id="rId6" Type="http://schemas.openxmlformats.org/officeDocument/2006/relationships/hyperlink" Target="https://github.com/mytcn-1511/product-a-lab5-backlog/issues/78" TargetMode="External"/><Relationship Id="rId7" Type="http://schemas.openxmlformats.org/officeDocument/2006/relationships/hyperlink" Target="https://github.com/mytcn-1511/product-a-lab5-backlog/issues/83" TargetMode="External"/><Relationship Id="rId8" Type="http://schemas.openxmlformats.org/officeDocument/2006/relationships/hyperlink" Target="https://github.com/mytcn-1511/product-a-lab5-backlog/issues/114" TargetMode="External"/><Relationship Id="rId9" Type="http://schemas.openxmlformats.org/officeDocument/2006/relationships/hyperlink" Target="https://github.com/mytcn-1511/product-a-lab5-backlog/issues/124" TargetMode="External"/><Relationship Id="rId10" Type="http://schemas.openxmlformats.org/officeDocument/2006/relationships/hyperlink" Target="https://github.com/mytcn-1511/product-a-lab5-backlog/issues/128" TargetMode="External"/><Relationship Id="rId11" Type="http://schemas.openxmlformats.org/officeDocument/2006/relationships/hyperlink" Target="https://github.com/mytcn-1511/product-a-lab5-backlog/issues/18" TargetMode="External"/><Relationship Id="rId12" Type="http://schemas.openxmlformats.org/officeDocument/2006/relationships/hyperlink" Target="https://github.com/mytcn-1511/product-a-lab5-backlog/issues/51" TargetMode="External"/><Relationship Id="rId13" Type="http://schemas.openxmlformats.org/officeDocument/2006/relationships/hyperlink" Target="https://github.com/mytcn-1511/product-a-lab5-backlog/issues/65" TargetMode="External"/><Relationship Id="rId14" Type="http://schemas.openxmlformats.org/officeDocument/2006/relationships/hyperlink" Target="https://github.com/mytcn-1511/product-a-lab5-backlog/issues/88" TargetMode="External"/><Relationship Id="rId15" Type="http://schemas.openxmlformats.org/officeDocument/2006/relationships/hyperlink" Target="https://github.com/mytcn-1511/product-a-lab5-backlog/issues/105" TargetMode="External"/><Relationship Id="rId16"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110"/>
  </cols>
  <sheetData>
    <row r="1" customFormat="false" ht="26.85" hidden="false" customHeight="false" outlineLevel="0" collapsed="false">
      <c r="A1" s="1" t="s">
        <v>0</v>
      </c>
      <c r="B1" s="2"/>
    </row>
    <row r="2" customFormat="false" ht="15" hidden="false" customHeight="false" outlineLevel="0" collapsed="false">
      <c r="A2" s="3" t="s">
        <v>1</v>
      </c>
      <c r="B2" s="2" t="s">
        <v>2</v>
      </c>
    </row>
    <row r="3" customFormat="false" ht="23.85" hidden="false" customHeight="false" outlineLevel="0" collapsed="false">
      <c r="A3" s="3" t="s">
        <v>3</v>
      </c>
      <c r="B3" s="2" t="s">
        <v>4</v>
      </c>
    </row>
    <row r="4" customFormat="false" ht="23.85" hidden="false" customHeight="false" outlineLevel="0" collapsed="false">
      <c r="A4" s="3" t="s">
        <v>5</v>
      </c>
      <c r="B4" s="2" t="s">
        <v>6</v>
      </c>
    </row>
    <row r="5" customFormat="false" ht="15" hidden="false" customHeight="false" outlineLevel="0" collapsed="false">
      <c r="A5" s="3" t="s">
        <v>7</v>
      </c>
      <c r="B5" s="2" t="s">
        <v>8</v>
      </c>
    </row>
    <row r="6" customFormat="false" ht="15" hidden="false" customHeight="false" outlineLevel="0" collapsed="false">
      <c r="A6" s="3" t="s">
        <v>9</v>
      </c>
      <c r="B6" s="2" t="s">
        <v>10</v>
      </c>
    </row>
    <row r="7" customFormat="false" ht="15" hidden="false" customHeight="false" outlineLevel="0" collapsed="false">
      <c r="A7" s="3" t="s">
        <v>11</v>
      </c>
      <c r="B7" s="2" t="s">
        <v>12</v>
      </c>
    </row>
    <row r="8" customFormat="false" ht="15" hidden="false" customHeight="false" outlineLevel="0" collapsed="false">
      <c r="A8" s="2"/>
      <c r="B8" s="2"/>
    </row>
    <row r="9" customFormat="false" ht="26.85" hidden="false" customHeight="false" outlineLevel="0" collapsed="false">
      <c r="A9" s="4" t="s">
        <v>13</v>
      </c>
      <c r="B9" s="2"/>
    </row>
    <row r="10" customFormat="false" ht="15" hidden="false" customHeight="false" outlineLevel="0" collapsed="false">
      <c r="A10" s="3" t="s">
        <v>14</v>
      </c>
      <c r="B10" s="2" t="s">
        <v>15</v>
      </c>
    </row>
    <row r="11" customFormat="false" ht="15" hidden="false" customHeight="false" outlineLevel="0" collapsed="false">
      <c r="A11" s="3" t="s">
        <v>14</v>
      </c>
      <c r="B11" s="2" t="s">
        <v>16</v>
      </c>
    </row>
    <row r="12" customFormat="false" ht="15" hidden="false" customHeight="false" outlineLevel="0" collapsed="false">
      <c r="A12" s="3" t="s">
        <v>14</v>
      </c>
      <c r="B12" s="2" t="s">
        <v>17</v>
      </c>
    </row>
    <row r="13" customFormat="false" ht="15" hidden="false" customHeight="false" outlineLevel="0" collapsed="false">
      <c r="A13" s="3" t="s">
        <v>14</v>
      </c>
      <c r="B13" s="2" t="s">
        <v>18</v>
      </c>
    </row>
    <row r="14" customFormat="false" ht="15" hidden="false" customHeight="false" outlineLevel="0" collapsed="false">
      <c r="A14" s="3" t="s">
        <v>14</v>
      </c>
      <c r="B14" s="2" t="s">
        <v>19</v>
      </c>
    </row>
    <row r="15" customFormat="false" ht="15" hidden="false" customHeight="false" outlineLevel="0" collapsed="false">
      <c r="A15" s="3" t="s">
        <v>14</v>
      </c>
      <c r="B15" s="2" t="s">
        <v>20</v>
      </c>
    </row>
    <row r="16" customFormat="false" ht="15" hidden="false" customHeight="false" outlineLevel="0" collapsed="false">
      <c r="A16" s="3" t="s">
        <v>14</v>
      </c>
      <c r="B16" s="2" t="s">
        <v>21</v>
      </c>
    </row>
    <row r="17" customFormat="false" ht="15" hidden="false" customHeight="false" outlineLevel="0" collapsed="false">
      <c r="A17" s="2"/>
      <c r="B17" s="2"/>
    </row>
    <row r="18" customFormat="false" ht="15" hidden="false" customHeight="false" outlineLevel="0" collapsed="false">
      <c r="A18" s="4" t="s">
        <v>22</v>
      </c>
      <c r="B18" s="2"/>
    </row>
    <row r="19" customFormat="false" ht="15" hidden="false" customHeight="false" outlineLevel="0" collapsed="false">
      <c r="A19" s="3" t="s">
        <v>23</v>
      </c>
      <c r="B19" s="2" t="s">
        <v>24</v>
      </c>
    </row>
    <row r="20" customFormat="false" ht="15" hidden="false" customHeight="false" outlineLevel="0" collapsed="false">
      <c r="A20" s="3" t="s">
        <v>25</v>
      </c>
      <c r="B20" s="2" t="s">
        <v>26</v>
      </c>
    </row>
    <row r="21" customFormat="false" ht="15" hidden="false" customHeight="false" outlineLevel="0" collapsed="false">
      <c r="A21" s="5" t="s">
        <v>27</v>
      </c>
      <c r="B21" s="2" t="s">
        <v>28</v>
      </c>
    </row>
    <row r="22" customFormat="false" ht="15" hidden="false" customHeight="false" outlineLevel="0" collapsed="false">
      <c r="A22" s="5" t="s">
        <v>29</v>
      </c>
      <c r="B22" s="2" t="s">
        <v>30</v>
      </c>
    </row>
    <row r="23" customFormat="false" ht="15" hidden="false" customHeight="false" outlineLevel="0" collapsed="false">
      <c r="A23" s="5" t="s">
        <v>31</v>
      </c>
      <c r="B23" s="2" t="s">
        <v>32</v>
      </c>
    </row>
    <row r="24" customFormat="false" ht="15" hidden="false" customHeight="false" outlineLevel="0" collapsed="false">
      <c r="A24" s="5" t="s">
        <v>33</v>
      </c>
      <c r="B24" s="2" t="s">
        <v>34</v>
      </c>
    </row>
    <row r="25" customFormat="false" ht="15" hidden="false" customHeight="false" outlineLevel="0" collapsed="false">
      <c r="A25" s="5" t="s">
        <v>35</v>
      </c>
      <c r="B25" s="2" t="s">
        <v>36</v>
      </c>
    </row>
    <row r="26" customFormat="false" ht="15" hidden="false" customHeight="false" outlineLevel="0" collapsed="false">
      <c r="A26" s="3" t="s">
        <v>37</v>
      </c>
      <c r="B26" s="2" t="s">
        <v>38</v>
      </c>
    </row>
    <row r="27" customFormat="false" ht="15" hidden="false" customHeight="false" outlineLevel="0" collapsed="false">
      <c r="A27" s="3" t="s">
        <v>39</v>
      </c>
      <c r="B27" s="2" t="s">
        <v>40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1" topLeftCell="E2" activePane="bottomRight" state="frozen"/>
      <selection pane="topLeft" activeCell="A1" activeCellId="0" sqref="A1"/>
      <selection pane="topRight" activeCell="E1" activeCellId="0" sqref="E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9"/>
    <col collapsed="false" customWidth="true" hidden="false" outlineLevel="0" max="3" min="3" style="0" width="13"/>
    <col collapsed="false" customWidth="true" hidden="false" outlineLevel="0" max="4" min="4" style="0" width="34"/>
    <col collapsed="false" customWidth="true" hidden="false" outlineLevel="0" max="5" min="5" style="0" width="28"/>
    <col collapsed="false" customWidth="true" hidden="false" outlineLevel="0" max="6" min="6" style="0" width="13"/>
    <col collapsed="false" customWidth="true" hidden="false" outlineLevel="0" max="7" min="7" style="0" width="16"/>
    <col collapsed="false" customWidth="true" hidden="false" outlineLevel="0" max="9" min="8" style="0" width="60"/>
    <col collapsed="false" customWidth="true" hidden="false" outlineLevel="0" max="10" min="10" style="0" width="70"/>
    <col collapsed="false" customWidth="true" hidden="false" outlineLevel="0" max="11" min="11" style="0" width="42"/>
    <col collapsed="false" customWidth="true" hidden="false" outlineLevel="0" max="12" min="12" style="0" width="34"/>
    <col collapsed="false" customWidth="true" hidden="false" outlineLevel="0" max="13" min="13" style="0" width="14"/>
    <col collapsed="false" customWidth="true" hidden="false" outlineLevel="0" max="14" min="14" style="0" width="28"/>
    <col collapsed="false" customWidth="true" hidden="false" outlineLevel="0" max="15" min="15" style="0" width="11"/>
    <col collapsed="false" customWidth="true" hidden="false" outlineLevel="0" max="16" min="16" style="0" width="30"/>
  </cols>
  <sheetData>
    <row r="1" customFormat="false" ht="36" hidden="false" customHeight="true" outlineLevel="0" collapsed="false">
      <c r="A1" s="6" t="s">
        <v>41</v>
      </c>
      <c r="B1" s="6" t="s">
        <v>42</v>
      </c>
      <c r="C1" s="6" t="s">
        <v>43</v>
      </c>
      <c r="D1" s="6" t="s">
        <v>44</v>
      </c>
      <c r="E1" s="6" t="s">
        <v>45</v>
      </c>
      <c r="F1" s="6" t="s">
        <v>46</v>
      </c>
      <c r="G1" s="6" t="s">
        <v>47</v>
      </c>
      <c r="H1" s="6" t="s">
        <v>48</v>
      </c>
      <c r="I1" s="6" t="s">
        <v>49</v>
      </c>
      <c r="J1" s="6" t="s">
        <v>50</v>
      </c>
      <c r="K1" s="6" t="s">
        <v>51</v>
      </c>
      <c r="L1" s="6" t="s">
        <v>52</v>
      </c>
      <c r="M1" s="6" t="s">
        <v>53</v>
      </c>
      <c r="N1" s="6" t="s">
        <v>54</v>
      </c>
      <c r="O1" s="6" t="s">
        <v>55</v>
      </c>
      <c r="P1" s="6" t="s">
        <v>56</v>
      </c>
    </row>
    <row r="2" customFormat="false" ht="102.2" hidden="false" customHeight="false" outlineLevel="0" collapsed="false">
      <c r="A2" s="7" t="n">
        <v>1</v>
      </c>
      <c r="B2" s="8" t="s">
        <v>57</v>
      </c>
      <c r="C2" s="7" t="s">
        <v>58</v>
      </c>
      <c r="D2" s="7" t="s">
        <v>59</v>
      </c>
      <c r="E2" s="7" t="s">
        <v>60</v>
      </c>
      <c r="F2" s="7" t="s">
        <v>61</v>
      </c>
      <c r="G2" s="7" t="s">
        <v>62</v>
      </c>
      <c r="H2" s="7" t="s">
        <v>63</v>
      </c>
      <c r="I2" s="7" t="s">
        <v>64</v>
      </c>
      <c r="J2" s="7" t="s">
        <v>65</v>
      </c>
      <c r="K2" s="7" t="s">
        <v>66</v>
      </c>
      <c r="L2" s="7" t="s">
        <v>67</v>
      </c>
      <c r="M2" s="7" t="s">
        <v>68</v>
      </c>
      <c r="N2" s="7" t="s">
        <v>69</v>
      </c>
      <c r="O2" s="9" t="n">
        <v>8</v>
      </c>
      <c r="P2" s="10" t="s">
        <v>70</v>
      </c>
    </row>
    <row r="3" customFormat="false" ht="113.4" hidden="false" customHeight="false" outlineLevel="0" collapsed="false">
      <c r="A3" s="7" t="n">
        <v>2</v>
      </c>
      <c r="B3" s="8" t="s">
        <v>71</v>
      </c>
      <c r="C3" s="7" t="s">
        <v>72</v>
      </c>
      <c r="D3" s="7" t="s">
        <v>73</v>
      </c>
      <c r="E3" s="7" t="s">
        <v>74</v>
      </c>
      <c r="F3" s="7" t="s">
        <v>75</v>
      </c>
      <c r="G3" s="7" t="s">
        <v>76</v>
      </c>
      <c r="H3" s="7" t="s">
        <v>77</v>
      </c>
      <c r="I3" s="7" t="s">
        <v>78</v>
      </c>
      <c r="J3" s="7" t="s">
        <v>79</v>
      </c>
      <c r="K3" s="7" t="s">
        <v>80</v>
      </c>
      <c r="L3" s="7" t="s">
        <v>81</v>
      </c>
      <c r="M3" s="7" t="s">
        <v>82</v>
      </c>
      <c r="N3" s="7" t="s">
        <v>83</v>
      </c>
      <c r="O3" s="9" t="n">
        <v>10</v>
      </c>
      <c r="P3" s="10" t="s">
        <v>84</v>
      </c>
    </row>
    <row r="4" customFormat="false" ht="113.4" hidden="false" customHeight="false" outlineLevel="0" collapsed="false">
      <c r="A4" s="7" t="n">
        <v>3</v>
      </c>
      <c r="B4" s="8" t="s">
        <v>85</v>
      </c>
      <c r="C4" s="7" t="s">
        <v>86</v>
      </c>
      <c r="D4" s="7" t="s">
        <v>87</v>
      </c>
      <c r="E4" s="7" t="s">
        <v>88</v>
      </c>
      <c r="F4" s="7" t="s">
        <v>75</v>
      </c>
      <c r="G4" s="7" t="s">
        <v>76</v>
      </c>
      <c r="H4" s="7" t="s">
        <v>89</v>
      </c>
      <c r="I4" s="7" t="s">
        <v>90</v>
      </c>
      <c r="J4" s="7" t="s">
        <v>91</v>
      </c>
      <c r="K4" s="7" t="s">
        <v>92</v>
      </c>
      <c r="L4" s="7" t="s">
        <v>93</v>
      </c>
      <c r="M4" s="7" t="s">
        <v>82</v>
      </c>
      <c r="N4" s="7" t="s">
        <v>94</v>
      </c>
      <c r="O4" s="9" t="n">
        <v>14</v>
      </c>
      <c r="P4" s="10" t="s">
        <v>95</v>
      </c>
    </row>
    <row r="5" customFormat="false" ht="124.6" hidden="false" customHeight="false" outlineLevel="0" collapsed="false">
      <c r="A5" s="7" t="n">
        <v>4</v>
      </c>
      <c r="B5" s="8" t="s">
        <v>96</v>
      </c>
      <c r="C5" s="7" t="s">
        <v>97</v>
      </c>
      <c r="D5" s="7" t="s">
        <v>98</v>
      </c>
      <c r="E5" s="7" t="s">
        <v>99</v>
      </c>
      <c r="F5" s="7" t="s">
        <v>61</v>
      </c>
      <c r="G5" s="7" t="s">
        <v>76</v>
      </c>
      <c r="H5" s="7" t="s">
        <v>100</v>
      </c>
      <c r="I5" s="7" t="s">
        <v>101</v>
      </c>
      <c r="J5" s="7" t="s">
        <v>102</v>
      </c>
      <c r="K5" s="7" t="s">
        <v>103</v>
      </c>
      <c r="L5" s="7" t="s">
        <v>67</v>
      </c>
      <c r="M5" s="7" t="s">
        <v>68</v>
      </c>
      <c r="N5" s="7" t="s">
        <v>104</v>
      </c>
      <c r="O5" s="9" t="n">
        <v>6</v>
      </c>
      <c r="P5" s="10" t="s">
        <v>105</v>
      </c>
    </row>
    <row r="6" customFormat="false" ht="124.6" hidden="false" customHeight="false" outlineLevel="0" collapsed="false">
      <c r="A6" s="7" t="n">
        <v>5</v>
      </c>
      <c r="B6" s="8" t="s">
        <v>106</v>
      </c>
      <c r="C6" s="7" t="s">
        <v>107</v>
      </c>
      <c r="D6" s="7" t="s">
        <v>108</v>
      </c>
      <c r="E6" s="7" t="s">
        <v>109</v>
      </c>
      <c r="F6" s="7" t="s">
        <v>61</v>
      </c>
      <c r="G6" s="7" t="s">
        <v>76</v>
      </c>
      <c r="H6" s="7" t="s">
        <v>110</v>
      </c>
      <c r="I6" s="7" t="s">
        <v>111</v>
      </c>
      <c r="J6" s="7" t="s">
        <v>112</v>
      </c>
      <c r="K6" s="7" t="s">
        <v>113</v>
      </c>
      <c r="L6" s="7" t="s">
        <v>114</v>
      </c>
      <c r="M6" s="7" t="s">
        <v>68</v>
      </c>
      <c r="N6" s="7" t="s">
        <v>115</v>
      </c>
      <c r="O6" s="9" t="n">
        <v>12</v>
      </c>
      <c r="P6" s="10" t="s">
        <v>116</v>
      </c>
    </row>
    <row r="7" customFormat="false" ht="135.8" hidden="false" customHeight="false" outlineLevel="0" collapsed="false">
      <c r="A7" s="7" t="n">
        <v>6</v>
      </c>
      <c r="B7" s="8" t="s">
        <v>117</v>
      </c>
      <c r="C7" s="7" t="s">
        <v>118</v>
      </c>
      <c r="D7" s="7" t="s">
        <v>119</v>
      </c>
      <c r="E7" s="7" t="s">
        <v>120</v>
      </c>
      <c r="F7" s="7" t="s">
        <v>61</v>
      </c>
      <c r="G7" s="7" t="s">
        <v>76</v>
      </c>
      <c r="H7" s="7" t="s">
        <v>121</v>
      </c>
      <c r="I7" s="7" t="s">
        <v>122</v>
      </c>
      <c r="J7" s="7" t="s">
        <v>123</v>
      </c>
      <c r="K7" s="7" t="s">
        <v>124</v>
      </c>
      <c r="L7" s="7" t="s">
        <v>125</v>
      </c>
      <c r="M7" s="7" t="s">
        <v>68</v>
      </c>
      <c r="N7" s="7" t="s">
        <v>126</v>
      </c>
      <c r="O7" s="9" t="n">
        <v>16</v>
      </c>
      <c r="P7" s="10" t="s">
        <v>127</v>
      </c>
    </row>
    <row r="8" customFormat="false" ht="180.55" hidden="false" customHeight="false" outlineLevel="0" collapsed="false">
      <c r="A8" s="7" t="n">
        <v>7</v>
      </c>
      <c r="B8" s="8" t="s">
        <v>128</v>
      </c>
      <c r="C8" s="7" t="s">
        <v>129</v>
      </c>
      <c r="D8" s="7" t="s">
        <v>130</v>
      </c>
      <c r="E8" s="7" t="s">
        <v>131</v>
      </c>
      <c r="F8" s="7" t="s">
        <v>75</v>
      </c>
      <c r="G8" s="7" t="s">
        <v>62</v>
      </c>
      <c r="H8" s="7" t="s">
        <v>132</v>
      </c>
      <c r="I8" s="7" t="s">
        <v>133</v>
      </c>
      <c r="J8" s="7" t="s">
        <v>134</v>
      </c>
      <c r="K8" s="7" t="s">
        <v>135</v>
      </c>
      <c r="L8" s="7" t="s">
        <v>136</v>
      </c>
      <c r="M8" s="7" t="s">
        <v>82</v>
      </c>
      <c r="N8" s="7" t="s">
        <v>137</v>
      </c>
      <c r="O8" s="9" t="n">
        <v>24</v>
      </c>
      <c r="P8" s="10" t="s">
        <v>138</v>
      </c>
    </row>
    <row r="9" customFormat="false" ht="270.1" hidden="false" customHeight="false" outlineLevel="0" collapsed="false">
      <c r="A9" s="7" t="n">
        <v>8</v>
      </c>
      <c r="B9" s="8" t="s">
        <v>139</v>
      </c>
      <c r="C9" s="7" t="s">
        <v>140</v>
      </c>
      <c r="D9" s="7" t="s">
        <v>141</v>
      </c>
      <c r="E9" s="7" t="s">
        <v>142</v>
      </c>
      <c r="F9" s="7" t="s">
        <v>61</v>
      </c>
      <c r="G9" s="7" t="s">
        <v>62</v>
      </c>
      <c r="H9" s="7" t="s">
        <v>143</v>
      </c>
      <c r="I9" s="7" t="s">
        <v>144</v>
      </c>
      <c r="J9" s="7" t="s">
        <v>145</v>
      </c>
      <c r="K9" s="7" t="s">
        <v>146</v>
      </c>
      <c r="L9" s="7" t="s">
        <v>67</v>
      </c>
      <c r="M9" s="7" t="s">
        <v>68</v>
      </c>
      <c r="N9" s="7" t="s">
        <v>147</v>
      </c>
      <c r="O9" s="9" t="n">
        <v>20</v>
      </c>
      <c r="P9" s="10" t="s">
        <v>148</v>
      </c>
    </row>
    <row r="10" customFormat="false" ht="102.2" hidden="false" customHeight="false" outlineLevel="0" collapsed="false">
      <c r="A10" s="7" t="n">
        <v>9</v>
      </c>
      <c r="B10" s="8" t="s">
        <v>149</v>
      </c>
      <c r="C10" s="7" t="s">
        <v>150</v>
      </c>
      <c r="D10" s="7" t="s">
        <v>151</v>
      </c>
      <c r="E10" s="7" t="s">
        <v>152</v>
      </c>
      <c r="F10" s="7" t="s">
        <v>61</v>
      </c>
      <c r="G10" s="7" t="s">
        <v>153</v>
      </c>
      <c r="H10" s="7" t="s">
        <v>154</v>
      </c>
      <c r="I10" s="7" t="s">
        <v>155</v>
      </c>
      <c r="J10" s="7" t="s">
        <v>156</v>
      </c>
      <c r="K10" s="7" t="s">
        <v>157</v>
      </c>
      <c r="L10" s="7" t="s">
        <v>158</v>
      </c>
      <c r="M10" s="7" t="s">
        <v>68</v>
      </c>
      <c r="N10" s="7" t="s">
        <v>159</v>
      </c>
      <c r="O10" s="9" t="n">
        <v>18</v>
      </c>
      <c r="P10" s="10" t="s">
        <v>160</v>
      </c>
    </row>
    <row r="11" customFormat="false" ht="97" hidden="false" customHeight="false" outlineLevel="0" collapsed="false">
      <c r="A11" s="7" t="n">
        <v>10</v>
      </c>
      <c r="B11" s="8" t="s">
        <v>161</v>
      </c>
      <c r="C11" s="7" t="s">
        <v>162</v>
      </c>
      <c r="D11" s="7" t="s">
        <v>163</v>
      </c>
      <c r="E11" s="7" t="s">
        <v>164</v>
      </c>
      <c r="F11" s="7" t="s">
        <v>165</v>
      </c>
      <c r="G11" s="7" t="s">
        <v>62</v>
      </c>
      <c r="H11" s="7" t="s">
        <v>166</v>
      </c>
      <c r="I11" s="7" t="s">
        <v>167</v>
      </c>
      <c r="J11" s="7" t="s">
        <v>168</v>
      </c>
      <c r="K11" s="7" t="s">
        <v>169</v>
      </c>
      <c r="L11" s="7" t="s">
        <v>170</v>
      </c>
      <c r="M11" s="7" t="s">
        <v>68</v>
      </c>
      <c r="N11" s="7" t="s">
        <v>171</v>
      </c>
      <c r="O11" s="9" t="n">
        <v>14</v>
      </c>
      <c r="P11" s="10" t="s">
        <v>172</v>
      </c>
    </row>
    <row r="12" customFormat="false" ht="176.1" hidden="false" customHeight="false" outlineLevel="0" collapsed="false">
      <c r="A12" s="7" t="n">
        <v>11</v>
      </c>
      <c r="B12" s="8" t="s">
        <v>173</v>
      </c>
      <c r="C12" s="7" t="s">
        <v>174</v>
      </c>
      <c r="D12" s="7" t="s">
        <v>175</v>
      </c>
      <c r="E12" s="7" t="s">
        <v>176</v>
      </c>
      <c r="F12" s="7" t="s">
        <v>61</v>
      </c>
      <c r="G12" s="7" t="s">
        <v>76</v>
      </c>
      <c r="H12" s="7" t="s">
        <v>177</v>
      </c>
      <c r="I12" s="7" t="s">
        <v>178</v>
      </c>
      <c r="J12" s="7" t="s">
        <v>179</v>
      </c>
      <c r="K12" s="7" t="s">
        <v>180</v>
      </c>
      <c r="L12" s="7" t="s">
        <v>181</v>
      </c>
      <c r="M12" s="7" t="s">
        <v>68</v>
      </c>
      <c r="N12" s="7" t="s">
        <v>182</v>
      </c>
      <c r="O12" s="9" t="n">
        <v>14</v>
      </c>
      <c r="P12" s="10" t="s">
        <v>183</v>
      </c>
    </row>
    <row r="13" customFormat="false" ht="113.4" hidden="false" customHeight="false" outlineLevel="0" collapsed="false">
      <c r="A13" s="7" t="n">
        <v>12</v>
      </c>
      <c r="B13" s="8" t="s">
        <v>184</v>
      </c>
      <c r="C13" s="7" t="s">
        <v>185</v>
      </c>
      <c r="D13" s="7" t="s">
        <v>186</v>
      </c>
      <c r="E13" s="7" t="s">
        <v>187</v>
      </c>
      <c r="F13" s="7" t="s">
        <v>75</v>
      </c>
      <c r="G13" s="7" t="s">
        <v>153</v>
      </c>
      <c r="H13" s="7" t="s">
        <v>188</v>
      </c>
      <c r="I13" s="7" t="s">
        <v>189</v>
      </c>
      <c r="J13" s="7" t="s">
        <v>190</v>
      </c>
      <c r="K13" s="7" t="s">
        <v>191</v>
      </c>
      <c r="L13" s="7" t="s">
        <v>67</v>
      </c>
      <c r="M13" s="7" t="s">
        <v>82</v>
      </c>
      <c r="N13" s="7" t="s">
        <v>192</v>
      </c>
      <c r="O13" s="9" t="n">
        <v>28</v>
      </c>
      <c r="P13" s="10" t="s">
        <v>193</v>
      </c>
    </row>
    <row r="14" customFormat="false" ht="135.8" hidden="false" customHeight="false" outlineLevel="0" collapsed="false">
      <c r="A14" s="7" t="n">
        <v>13</v>
      </c>
      <c r="B14" s="8" t="s">
        <v>194</v>
      </c>
      <c r="C14" s="7" t="s">
        <v>195</v>
      </c>
      <c r="D14" s="7" t="s">
        <v>196</v>
      </c>
      <c r="E14" s="7" t="s">
        <v>197</v>
      </c>
      <c r="F14" s="7" t="s">
        <v>61</v>
      </c>
      <c r="G14" s="7" t="s">
        <v>76</v>
      </c>
      <c r="H14" s="7" t="s">
        <v>198</v>
      </c>
      <c r="I14" s="7" t="s">
        <v>199</v>
      </c>
      <c r="J14" s="7" t="s">
        <v>200</v>
      </c>
      <c r="K14" s="7" t="s">
        <v>201</v>
      </c>
      <c r="L14" s="7" t="s">
        <v>202</v>
      </c>
      <c r="M14" s="7" t="s">
        <v>68</v>
      </c>
      <c r="N14" s="7" t="s">
        <v>203</v>
      </c>
      <c r="O14" s="9" t="n">
        <v>16</v>
      </c>
      <c r="P14" s="10" t="s">
        <v>204</v>
      </c>
    </row>
    <row r="15" customFormat="false" ht="205.95" hidden="false" customHeight="false" outlineLevel="0" collapsed="false">
      <c r="A15" s="7" t="n">
        <v>14</v>
      </c>
      <c r="B15" s="8" t="s">
        <v>205</v>
      </c>
      <c r="C15" s="7" t="s">
        <v>206</v>
      </c>
      <c r="D15" s="7" t="s">
        <v>207</v>
      </c>
      <c r="E15" s="7" t="s">
        <v>208</v>
      </c>
      <c r="F15" s="7" t="s">
        <v>61</v>
      </c>
      <c r="G15" s="7" t="s">
        <v>153</v>
      </c>
      <c r="H15" s="7" t="s">
        <v>209</v>
      </c>
      <c r="I15" s="7" t="s">
        <v>210</v>
      </c>
      <c r="J15" s="7" t="s">
        <v>211</v>
      </c>
      <c r="K15" s="7" t="s">
        <v>212</v>
      </c>
      <c r="L15" s="7" t="s">
        <v>213</v>
      </c>
      <c r="M15" s="7" t="s">
        <v>68</v>
      </c>
      <c r="N15" s="7" t="s">
        <v>214</v>
      </c>
      <c r="O15" s="9" t="n">
        <v>18</v>
      </c>
      <c r="P15" s="10" t="s">
        <v>215</v>
      </c>
    </row>
    <row r="16" customFormat="false" ht="158.2" hidden="false" customHeight="false" outlineLevel="0" collapsed="false">
      <c r="A16" s="7" t="n">
        <v>15</v>
      </c>
      <c r="B16" s="8" t="s">
        <v>216</v>
      </c>
      <c r="C16" s="7" t="s">
        <v>217</v>
      </c>
      <c r="D16" s="7" t="s">
        <v>218</v>
      </c>
      <c r="E16" s="7" t="s">
        <v>219</v>
      </c>
      <c r="F16" s="7" t="s">
        <v>75</v>
      </c>
      <c r="G16" s="7" t="s">
        <v>153</v>
      </c>
      <c r="H16" s="7" t="s">
        <v>220</v>
      </c>
      <c r="I16" s="7" t="s">
        <v>221</v>
      </c>
      <c r="J16" s="7" t="s">
        <v>222</v>
      </c>
      <c r="K16" s="7" t="s">
        <v>223</v>
      </c>
      <c r="L16" s="7" t="s">
        <v>224</v>
      </c>
      <c r="M16" s="7" t="s">
        <v>82</v>
      </c>
      <c r="N16" s="7" t="s">
        <v>225</v>
      </c>
      <c r="O16" s="9" t="n">
        <v>30</v>
      </c>
      <c r="P16" s="10" t="s">
        <v>226</v>
      </c>
    </row>
    <row r="17" customFormat="false" ht="15" hidden="false" customHeight="false" outlineLevel="0" collapsed="false">
      <c r="A17" s="11"/>
      <c r="B17" s="11"/>
      <c r="C17" s="11"/>
      <c r="D17" s="11" t="s">
        <v>227</v>
      </c>
      <c r="E17" s="11"/>
      <c r="F17" s="11"/>
      <c r="G17" s="11"/>
      <c r="H17" s="11"/>
      <c r="I17" s="11"/>
      <c r="J17" s="11"/>
      <c r="K17" s="11"/>
      <c r="L17" s="11"/>
      <c r="M17" s="11"/>
      <c r="N17" s="11"/>
      <c r="O17" s="12" t="n">
        <f aca="false">SUM(O2:O16)</f>
        <v>248</v>
      </c>
      <c r="P17" s="11"/>
    </row>
    <row r="18" customFormat="false" ht="15" hidden="false" customHeight="false" outlineLevel="0" collapsed="false">
      <c r="A18" s="11"/>
      <c r="B18" s="11"/>
      <c r="C18" s="11"/>
      <c r="D18" s="11" t="s">
        <v>228</v>
      </c>
      <c r="E18" s="11"/>
      <c r="F18" s="11"/>
      <c r="G18" s="11"/>
      <c r="H18" s="11"/>
      <c r="I18" s="11"/>
      <c r="J18" s="11"/>
      <c r="K18" s="11"/>
      <c r="L18" s="11"/>
      <c r="M18" s="11"/>
      <c r="N18" s="11"/>
      <c r="O18" s="12" t="n">
        <f aca="false">COUNT(O2:O16)</f>
        <v>15</v>
      </c>
      <c r="P18" s="11"/>
    </row>
  </sheetData>
  <autoFilter ref="A1:P16"/>
  <dataValidations count="1">
    <dataValidation allowBlank="true" error="Nhập số giờ từ 0,5 đến 80, làm tròn 0,5" errorStyle="stop" operator="between" showDropDown="false" showErrorMessage="true" showInputMessage="false" sqref="O2:O16" type="decimal">
      <formula1>0.5</formula1>
      <formula2>80</formula2>
    </dataValidation>
  </dataValidations>
  <hyperlinks>
    <hyperlink ref="B2" r:id="rId1" display="#32"/>
    <hyperlink ref="B3" r:id="rId2" display="#27"/>
    <hyperlink ref="B4" r:id="rId3" display="#7"/>
    <hyperlink ref="B5" r:id="rId4" display="#9"/>
    <hyperlink ref="B6" r:id="rId5" display="#45"/>
    <hyperlink ref="B7" r:id="rId6" display="#78"/>
    <hyperlink ref="B8" r:id="rId7" display="#83"/>
    <hyperlink ref="B9" r:id="rId8" display="#114"/>
    <hyperlink ref="B10" r:id="rId9" display="#124"/>
    <hyperlink ref="B11" r:id="rId10" display="#128"/>
    <hyperlink ref="B12" r:id="rId11" display="#18"/>
    <hyperlink ref="B13" r:id="rId12" display="#51"/>
    <hyperlink ref="B14" r:id="rId13" display="#65"/>
    <hyperlink ref="B15" r:id="rId14" display="#88"/>
    <hyperlink ref="B16" r:id="rId15" display="#105"/>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6"/>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2026-10-21T09:58:10Z</dcterms:created>
  <dc:creator>openpyxl</dc:creator>
  <dc:description/>
  <dc:language>en-US</dc:language>
  <cp:lastModifiedBy/>
  <dcterms:modified xsi:type="dcterms:W3CDTF">2026-10-21T13:16:24Z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